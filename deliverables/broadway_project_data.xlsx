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essduong/Documents/CF/broadway_analysis/deliverables/"/>
    </mc:Choice>
  </mc:AlternateContent>
  <xr:revisionPtr revIDLastSave="0" documentId="13_ncr:1_{C3DB94A8-1130-B24E-81B2-1D8256B5D81A}" xr6:coauthVersionLast="47" xr6:coauthVersionMax="47" xr10:uidLastSave="{00000000-0000-0000-0000-000000000000}"/>
  <bookViews>
    <workbookView xWindow="11980" yWindow="1180" windowWidth="21060" windowHeight="16640" tabRatio="500" xr2:uid="{00000000-000D-0000-FFFF-FFFF00000000}"/>
  </bookViews>
  <sheets>
    <sheet name="shows" sheetId="1" r:id="rId1"/>
    <sheet name="tony awards" sheetId="2" r:id="rId2"/>
    <sheet name="tony award revenue lift" sheetId="6" r:id="rId3"/>
    <sheet name="revenue by year" sheetId="4" r:id="rId4"/>
    <sheet name="show performance summary" sheetId="5" r:id="rId5"/>
    <sheet name="statistical validation" sheetId="7" r:id="rId6"/>
  </sheets>
  <definedNames>
    <definedName name="_xlnm._FilterDatabase" localSheetId="4" hidden="1">'show performance summary'!$A$1:$F$146</definedName>
    <definedName name="_xlnm._FilterDatabase" localSheetId="0" hidden="1">shows!$A$1:$F$146</definedName>
    <definedName name="_xlnm._FilterDatabase" localSheetId="1" hidden="1">'tony awards'!$A$1:$F$34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7" l="1"/>
  <c r="B14" i="7"/>
  <c r="B15" i="7"/>
  <c r="B16" i="7"/>
  <c r="E25" i="6"/>
  <c r="D25" i="6"/>
  <c r="C25" i="6"/>
  <c r="E2" i="6"/>
  <c r="F2" i="6"/>
  <c r="E3" i="6"/>
  <c r="F3" i="6"/>
  <c r="E4" i="6"/>
  <c r="F4" i="6"/>
  <c r="E5" i="6"/>
  <c r="F5" i="6"/>
  <c r="E6" i="6"/>
  <c r="F6" i="6" s="1"/>
  <c r="F24" i="6" s="1"/>
  <c r="E7" i="6"/>
  <c r="F7" i="6"/>
  <c r="E8" i="6"/>
  <c r="F8" i="6"/>
  <c r="E9" i="6"/>
  <c r="F9" i="6"/>
  <c r="E10" i="6"/>
  <c r="F10" i="6"/>
  <c r="E11" i="6"/>
  <c r="F11" i="6"/>
  <c r="E12" i="6"/>
  <c r="F12" i="6"/>
  <c r="E13" i="6"/>
  <c r="F13" i="6"/>
  <c r="E14" i="6"/>
  <c r="F14" i="6"/>
  <c r="E15" i="6"/>
  <c r="F15" i="6" s="1"/>
  <c r="E16" i="6"/>
  <c r="F16" i="6" s="1"/>
  <c r="E17" i="6"/>
  <c r="F17" i="6"/>
  <c r="E18" i="6"/>
  <c r="F18" i="6"/>
  <c r="E19" i="6"/>
  <c r="F19" i="6"/>
  <c r="E20" i="6"/>
  <c r="F20" i="6"/>
  <c r="E21" i="6"/>
  <c r="F21" i="6" s="1"/>
  <c r="E22" i="6"/>
  <c r="F22" i="6"/>
  <c r="E23" i="6"/>
  <c r="F23" i="6" s="1"/>
  <c r="C24" i="6"/>
  <c r="D24" i="6"/>
  <c r="E24" i="6"/>
</calcChain>
</file>

<file path=xl/sharedStrings.xml><?xml version="1.0" encoding="utf-8"?>
<sst xmlns="http://schemas.openxmlformats.org/spreadsheetml/2006/main" count="1501" uniqueCount="626">
  <si>
    <t>42nd Street</t>
  </si>
  <si>
    <t>Musical</t>
  </si>
  <si>
    <t>Revival</t>
  </si>
  <si>
    <t>5/2/01</t>
  </si>
  <si>
    <t>1/2/05</t>
  </si>
  <si>
    <t>Revival per IBDB; original ran 1980-1989</t>
  </si>
  <si>
    <t>A Bronx Tale The Musical</t>
  </si>
  <si>
    <t>Adaptation - Film</t>
  </si>
  <si>
    <t>12/1/16</t>
  </si>
  <si>
    <t>8/5/18</t>
  </si>
  <si>
    <t>Adaptation of 1993 film per Wikipedia; also uses pre-existing doo-wop songs.</t>
  </si>
  <si>
    <t>A Chorus Line</t>
  </si>
  <si>
    <t>10/5/06</t>
  </si>
  <si>
    <t>8/17/08</t>
  </si>
  <si>
    <t>Revival per IBDB; original ran 1975-1990</t>
  </si>
  <si>
    <t>A Funny Thing Happened on the Way to the Forum</t>
  </si>
  <si>
    <t>4/18/96</t>
  </si>
  <si>
    <t>1/4/98</t>
  </si>
  <si>
    <t>Revival per IBDB; original ran 1962-1964, and first revival in 1972</t>
  </si>
  <si>
    <t>A Gentleman's Guide to Love and Murder</t>
  </si>
  <si>
    <t>Adaptation - Book</t>
  </si>
  <si>
    <t>11/17/13</t>
  </si>
  <si>
    <t>1/17/16</t>
  </si>
  <si>
    <t>Adaptation of 1907 novel per Wikipedia</t>
  </si>
  <si>
    <t>A Little Night Music</t>
  </si>
  <si>
    <t>12/13/09</t>
  </si>
  <si>
    <t>1/9/11</t>
  </si>
  <si>
    <t>Revival per IDB; original ran 1973-1974</t>
  </si>
  <si>
    <t>A View from the Bridge</t>
  </si>
  <si>
    <t>Play</t>
  </si>
  <si>
    <t>12/14/97</t>
  </si>
  <si>
    <t>2/21/16</t>
  </si>
  <si>
    <t>Revival per IBDB; multiple revivals in dataset (1997, 2010, 2015); original 1955</t>
  </si>
  <si>
    <t>Aida</t>
  </si>
  <si>
    <t>3/23/00</t>
  </si>
  <si>
    <t>9/5/04</t>
  </si>
  <si>
    <t>Original per IBDB; adapted from Leontyne Price storybook/Verdi opera per Wikipedia</t>
  </si>
  <si>
    <t>Aladdin</t>
  </si>
  <si>
    <t>3/20/14</t>
  </si>
  <si>
    <t>Still Running</t>
  </si>
  <si>
    <t>Adaptation of Disney's film Aladdin per Wikipedia</t>
  </si>
  <si>
    <t>American Idiot</t>
  </si>
  <si>
    <t>Jukebox Musical</t>
  </si>
  <si>
    <t>4/20/10</t>
  </si>
  <si>
    <t>4/24/11</t>
  </si>
  <si>
    <t>Jukebox per Wikipedia; based on Green Day's 2004 album</t>
  </si>
  <si>
    <t>An American in Paris</t>
  </si>
  <si>
    <t>4/12/15</t>
  </si>
  <si>
    <t>10/5/16</t>
  </si>
  <si>
    <t>Adaptation of 1951 film of same name per Wikipedia</t>
  </si>
  <si>
    <t>Anastasia</t>
  </si>
  <si>
    <t>4/24/17</t>
  </si>
  <si>
    <t>3/31/19</t>
  </si>
  <si>
    <t>Adaptation of 1997 film of same name per Wikipedia</t>
  </si>
  <si>
    <t>Annie</t>
  </si>
  <si>
    <t>3/26/97</t>
  </si>
  <si>
    <t>1/5/14</t>
  </si>
  <si>
    <t>Revival per IBDB; multiple revivals in dataset (1997, 2010); original 1983</t>
  </si>
  <si>
    <t>Annie Get Your Gun</t>
  </si>
  <si>
    <t>3/4/99</t>
  </si>
  <si>
    <t>9/1/01</t>
  </si>
  <si>
    <t>Revival per IBDB; original ran 1946-1949</t>
  </si>
  <si>
    <t>Anything Goes</t>
  </si>
  <si>
    <t>4/7/11</t>
  </si>
  <si>
    <t>7/8/12</t>
  </si>
  <si>
    <t>Revival per IBDB; orgiginal ran 1934-1935</t>
  </si>
  <si>
    <t>Art</t>
  </si>
  <si>
    <t>3/1/98</t>
  </si>
  <si>
    <t>8/8/99</t>
  </si>
  <si>
    <t>Revival per IBDB; original and revival in dataset with original ran 1998-1999</t>
  </si>
  <si>
    <t>August: Osage County</t>
  </si>
  <si>
    <t>Original Play</t>
  </si>
  <si>
    <t>12/4/07</t>
  </si>
  <si>
    <t>7/28/09</t>
  </si>
  <si>
    <t>Avenue Q</t>
  </si>
  <si>
    <t>Original Musical</t>
  </si>
  <si>
    <t>7/31/03</t>
  </si>
  <si>
    <t>9/13/09</t>
  </si>
  <si>
    <t>Original per IBDB; original score by Lopez &amp; Marx</t>
  </si>
  <si>
    <t>Beautiful: The Carole King Musical</t>
  </si>
  <si>
    <t>1/12/14</t>
  </si>
  <si>
    <t>10/27/19</t>
  </si>
  <si>
    <t>Jukebox per Wikipedia; based on singer-songwriter Carole King</t>
  </si>
  <si>
    <t>Beauty and the Beast</t>
  </si>
  <si>
    <t>4/18/94</t>
  </si>
  <si>
    <t>7/29/07</t>
  </si>
  <si>
    <t>Adaptation of Disney's 1991 film Beauty and the Beast per Wikipedia</t>
  </si>
  <si>
    <t>Billy Elliot: The Musical</t>
  </si>
  <si>
    <t>11/13/08</t>
  </si>
  <si>
    <t>1/8/12</t>
  </si>
  <si>
    <t>Adaptated from 2000 British film Billy Elliot per Wikipedia</t>
  </si>
  <si>
    <t>Bring in 'da Noise, Bring in 'da Funk</t>
  </si>
  <si>
    <t>12/25/96</t>
  </si>
  <si>
    <t>1/10/99</t>
  </si>
  <si>
    <t>Original musical per IBDB; conceived and directed by George C. Wolfe</t>
  </si>
  <si>
    <t>Cabaret</t>
  </si>
  <si>
    <t>3/19/98</t>
  </si>
  <si>
    <t>3/29/15</t>
  </si>
  <si>
    <t>Revival per IBDB; multiple revivals in dataset (1998, 2014, 2024); original 1966</t>
  </si>
  <si>
    <t>Cat on a Hot Tin Roof</t>
  </si>
  <si>
    <t>11/3/03</t>
  </si>
  <si>
    <t>3/30/13</t>
  </si>
  <si>
    <t>Revival per IBDB; multiple revivals in dataset (2003, 2008, 2013); original 1955; based on play by Tennessee Williams</t>
  </si>
  <si>
    <t>Cats</t>
  </si>
  <si>
    <t>10/7/82</t>
  </si>
  <si>
    <t>12/30/17</t>
  </si>
  <si>
    <t>Based on T.S. Eliot poetry collection per Wikipedia; dataset includes original run (through 2000) and revival (2016-2017) per IBDB</t>
  </si>
  <si>
    <t>Chicago</t>
  </si>
  <si>
    <t>11/14/96</t>
  </si>
  <si>
    <t>Revival per IBDB; original 1975; based on 1926 play by Watkins</t>
  </si>
  <si>
    <t>Cinderella</t>
  </si>
  <si>
    <t>3/3/13</t>
  </si>
  <si>
    <t>1/3/15</t>
  </si>
  <si>
    <t>Adapted from Rodger's and Hammerstein 1957 television adaptation per Wikipedia</t>
  </si>
  <si>
    <t>Come From Away</t>
  </si>
  <si>
    <t>3/12/17</t>
  </si>
  <si>
    <t>10/2/22</t>
  </si>
  <si>
    <t>Original per IBDB; music and lyrics by Irene Sankoff and David Hein</t>
  </si>
  <si>
    <t>Contact</t>
  </si>
  <si>
    <t>3/30/00</t>
  </si>
  <si>
    <t>9/1/02</t>
  </si>
  <si>
    <t>Original per IBDB; "dance play" with pre-recorded music; not built around specific artist's catalog</t>
  </si>
  <si>
    <t>Crazy for You</t>
  </si>
  <si>
    <t>2/19/92</t>
  </si>
  <si>
    <t>1/7/96</t>
  </si>
  <si>
    <t>Jukebox per Wikipedia; score consists of pre-exisiting songs by George and ira Gershwin</t>
  </si>
  <si>
    <t>Curtains</t>
  </si>
  <si>
    <t>3/22/07</t>
  </si>
  <si>
    <t>6/29/08</t>
  </si>
  <si>
    <t>Adapted from book of same name per Wikipedia</t>
  </si>
  <si>
    <t>Dear Evan Hansen</t>
  </si>
  <si>
    <t>12/4/16</t>
  </si>
  <si>
    <t>9/18/22</t>
  </si>
  <si>
    <t>Original Musical per IBDB; music and lyrics by Benj Pasek and Justin Paul</t>
  </si>
  <si>
    <t>Death of a Salesman</t>
  </si>
  <si>
    <t>2/10/99</t>
  </si>
  <si>
    <t>6/2/12</t>
  </si>
  <si>
    <t>Revival per IBDB; multiple revivals in dataset (1999, 2012); original 1949</t>
  </si>
  <si>
    <t>Dirty Rotten Scoundrels</t>
  </si>
  <si>
    <t>3/3/05</t>
  </si>
  <si>
    <t>9/3/06</t>
  </si>
  <si>
    <t>Original musical adapted from 1988 film of same name</t>
  </si>
  <si>
    <t>Doubt</t>
  </si>
  <si>
    <t>3/31/05</t>
  </si>
  <si>
    <t>7/2/06</t>
  </si>
  <si>
    <t>Original play in 2005 and revival in 2024</t>
  </si>
  <si>
    <t>Fela!</t>
  </si>
  <si>
    <t>11/23/09</t>
  </si>
  <si>
    <t>7/12/12</t>
  </si>
  <si>
    <t>Original in 2009 and revival in 2012 in dataset</t>
  </si>
  <si>
    <t>Fiddler on the Roof</t>
  </si>
  <si>
    <t>2/26/04</t>
  </si>
  <si>
    <t>12/31/16</t>
  </si>
  <si>
    <t>Multiple revivals in dataset (2004, 2015)</t>
  </si>
  <si>
    <t>Finding Neverland</t>
  </si>
  <si>
    <t>4/15/15</t>
  </si>
  <si>
    <t>8/21/16</t>
  </si>
  <si>
    <t>Adapted from 2004 film of same name per Wikipedia</t>
  </si>
  <si>
    <t>Footloose</t>
  </si>
  <si>
    <t>10/22/98</t>
  </si>
  <si>
    <t>7/2/00</t>
  </si>
  <si>
    <t>Adapted from 1984 film of same name per Wikipedia</t>
  </si>
  <si>
    <t>Forever Tango</t>
  </si>
  <si>
    <t>6/19/97</t>
  </si>
  <si>
    <t>9/3/13</t>
  </si>
  <si>
    <t>Orignal musical in 1997 and multiple revivals in dataset (2004, 2013); theatrical dance show not narrative play</t>
  </si>
  <si>
    <t>Fosse</t>
  </si>
  <si>
    <t>1/14/99</t>
  </si>
  <si>
    <t>8/25/01</t>
  </si>
  <si>
    <t>Original per IBDB; musical revue celebrating Bob Fosse choreography; not a narrative musical</t>
  </si>
  <si>
    <t>Frozen</t>
  </si>
  <si>
    <t>3/22/18</t>
  </si>
  <si>
    <t>3/11/20</t>
  </si>
  <si>
    <t>Adapted from Disney's 2013 film per Wikipedia</t>
  </si>
  <si>
    <t>Fun Home</t>
  </si>
  <si>
    <t>4/19/15</t>
  </si>
  <si>
    <t>9/10/16</t>
  </si>
  <si>
    <t>Adapted from graphic memoir of same name per Wikipedia; music by Jeanine Tesori</t>
  </si>
  <si>
    <t>God of Carnage</t>
  </si>
  <si>
    <t>3/22/09</t>
  </si>
  <si>
    <t>6/6/20</t>
  </si>
  <si>
    <t>Original play was in French by playwrite Yasmina Reza and translated by Christopher Hampton per Wikipedia</t>
  </si>
  <si>
    <t>Golda's Balcony</t>
  </si>
  <si>
    <t>10/15/03</t>
  </si>
  <si>
    <t>Original one-woman play by William Gibson, reworked from his own multi-person play per Wikipedia</t>
  </si>
  <si>
    <t>Grease</t>
  </si>
  <si>
    <t>5/11/94</t>
  </si>
  <si>
    <t>1/4/09</t>
  </si>
  <si>
    <t>Multiple revivals in dataset (1994, 2009); original in 1972</t>
  </si>
  <si>
    <t>Gypsy</t>
  </si>
  <si>
    <t>5/1/03</t>
  </si>
  <si>
    <t>1/11/09</t>
  </si>
  <si>
    <t>Multiple revivals in dataset (2003, 2008)</t>
  </si>
  <si>
    <t>Hair</t>
  </si>
  <si>
    <t>3/31/09</t>
  </si>
  <si>
    <t>9/10/11</t>
  </si>
  <si>
    <t>Revival per IBDB; return engagement Jul-Sep 2011 at St. James; original opened 1968</t>
  </si>
  <si>
    <t>Hairspray</t>
  </si>
  <si>
    <t>8/15/02</t>
  </si>
  <si>
    <t>Adapted from film by John Waters per Wikipedia</t>
  </si>
  <si>
    <t>Hamilton</t>
  </si>
  <si>
    <t>8/6/15</t>
  </si>
  <si>
    <t>Adapted from biography of same name per Wikipedia</t>
  </si>
  <si>
    <t>Harry Potter and the Cursed Child, Parts One and Two</t>
  </si>
  <si>
    <t>4/22/18</t>
  </si>
  <si>
    <t>Original play per IBDB</t>
  </si>
  <si>
    <t>Hedwig and the Angry Inch</t>
  </si>
  <si>
    <t>4/22/14</t>
  </si>
  <si>
    <t>9/13/15</t>
  </si>
  <si>
    <t>Original musical; music and lyrics by Stephen Trask per IBDB</t>
  </si>
  <si>
    <t>Hello, Dolly!</t>
  </si>
  <si>
    <t>10/19/95</t>
  </si>
  <si>
    <t>8/25/18</t>
  </si>
  <si>
    <t>Multiple revivals in dataset (1995, 2017); original in 1964</t>
  </si>
  <si>
    <t>How to Succeed in Business Without Really Trying</t>
  </si>
  <si>
    <t>3/23/95</t>
  </si>
  <si>
    <t>5/20/12</t>
  </si>
  <si>
    <t>Multiple revivals in dataset (1995, 2011); original in 1961</t>
  </si>
  <si>
    <t>If/Then</t>
  </si>
  <si>
    <t>3/30/14</t>
  </si>
  <si>
    <t>3/22/15</t>
  </si>
  <si>
    <t>Original musical by Tom Kitt and Brian Yorkey per IBDB</t>
  </si>
  <si>
    <t>In the Heights</t>
  </si>
  <si>
    <t>3/9/08</t>
  </si>
  <si>
    <t>Original musical by Lin-Manuel Miranda per IBDB</t>
  </si>
  <si>
    <t>Jekyll &amp; Hyde</t>
  </si>
  <si>
    <t>4/28/97</t>
  </si>
  <si>
    <t>5/12/13</t>
  </si>
  <si>
    <t>Original (1997) and revival (2013) in dataset</t>
  </si>
  <si>
    <t>Jersey Boys</t>
  </si>
  <si>
    <t>11/6/05</t>
  </si>
  <si>
    <t>1/15/17</t>
  </si>
  <si>
    <t>Jukebox musical per Wikipedia, about life of Frankie Valli and The Four Seasons</t>
  </si>
  <si>
    <t>Kinky Boots</t>
  </si>
  <si>
    <t>4/4/13</t>
  </si>
  <si>
    <t>4/7/19</t>
  </si>
  <si>
    <t>Based on 2005 British film per Wikipedia; original score by Cyndi Lauper (not jukebox — songs written for the show)</t>
  </si>
  <si>
    <t>Kiss Me, Kate</t>
  </si>
  <si>
    <t>11/8/99</t>
  </si>
  <si>
    <t>6/30/19</t>
  </si>
  <si>
    <t>Multiple revivals in dataset (1999, 2019); original in 1948</t>
  </si>
  <si>
    <t>La Cage aux Folles</t>
  </si>
  <si>
    <t>12/9/04</t>
  </si>
  <si>
    <t>5/1/11</t>
  </si>
  <si>
    <t>Multiple revivals in dataset (2004, 2010); original in 1983</t>
  </si>
  <si>
    <t>Legally Blonde</t>
  </si>
  <si>
    <t>4/29/07</t>
  </si>
  <si>
    <t>10/19/08</t>
  </si>
  <si>
    <t>Adapted from film of same name per Wikipedia; music and. Lyrics by Laurence O'Keefe and Neil Benjamin</t>
  </si>
  <si>
    <t>Les Miserables</t>
  </si>
  <si>
    <t>3/12/87</t>
  </si>
  <si>
    <t>9/4/16</t>
  </si>
  <si>
    <t>Multiple productions in dataset: original (1987-2003), revival (2006-2008), revival (2014-2016); classified as Revival since 2 of 3 productions within scope are revivals; adapted from Victor Hugo novel</t>
  </si>
  <si>
    <t>Mamma Mia!</t>
  </si>
  <si>
    <t>10/18/01</t>
  </si>
  <si>
    <t>2/1/16</t>
  </si>
  <si>
    <t>Original (2001) and return engagement (2025) in dataset</t>
  </si>
  <si>
    <t>Mary Poppins</t>
  </si>
  <si>
    <t>11/16/06</t>
  </si>
  <si>
    <t>Adapted from book and 1964 film per Wikipedia; music and lyrics by Richard M. Sherman and Robert B. Sherman</t>
  </si>
  <si>
    <t>Master Class</t>
  </si>
  <si>
    <t>11/5/95</t>
  </si>
  <si>
    <t>9/4/11</t>
  </si>
  <si>
    <t>Original (1995) and revival (2011) in dataset</t>
  </si>
  <si>
    <t>Matilda The Musical</t>
  </si>
  <si>
    <t>4/11/13</t>
  </si>
  <si>
    <t>1/1/17</t>
  </si>
  <si>
    <t>Adapted from book; music and lyrics by Tim Minchin</t>
  </si>
  <si>
    <t>Mean Girls</t>
  </si>
  <si>
    <t>4/8/18</t>
  </si>
  <si>
    <t>Adapted from film per Wikipedia</t>
  </si>
  <si>
    <t>Memphis</t>
  </si>
  <si>
    <t>10/19/09</t>
  </si>
  <si>
    <t>8/5/12</t>
  </si>
  <si>
    <t>Original musical per IBDB; Score by Bon Jovi's David Bryan</t>
  </si>
  <si>
    <t>Million Dollar Quartet</t>
  </si>
  <si>
    <t>4/11/10</t>
  </si>
  <si>
    <t>6/12/11</t>
  </si>
  <si>
    <t>Original musical per Wikipedia; based on Million Dollar Quartet recording session od Decemeber 4, 1956</t>
  </si>
  <si>
    <t>Miss Saigon</t>
  </si>
  <si>
    <t>4/11/91</t>
  </si>
  <si>
    <t>1/14/18</t>
  </si>
  <si>
    <t>Multiple productions in dataset: original (1991-2001) and revival (2017-2018)</t>
  </si>
  <si>
    <t>Motown The Musical</t>
  </si>
  <si>
    <t>4/14/13</t>
  </si>
  <si>
    <t>7/31/16</t>
  </si>
  <si>
    <t>Original and returning engagement  in dataset: original (2013-2015) and returning engagement  (2016)</t>
  </si>
  <si>
    <t>Movin' Out</t>
  </si>
  <si>
    <t>10/24/02</t>
  </si>
  <si>
    <t>12/11/05</t>
  </si>
  <si>
    <t>Jukebox musical per Wikipedia; features over 30 Billy Joel hits</t>
  </si>
  <si>
    <t>My Fair Lady</t>
  </si>
  <si>
    <t>4/19/18</t>
  </si>
  <si>
    <t>7/7/19</t>
  </si>
  <si>
    <t>Multiple revivals but only one in dataset; original in 1956</t>
  </si>
  <si>
    <t>Newsies</t>
  </si>
  <si>
    <t>3/29/12</t>
  </si>
  <si>
    <t>8/24/14</t>
  </si>
  <si>
    <t>Adapted from film per Wikipedia; film inspiredby real-life event; music by Alan Menken and lyrics by jack feldman</t>
  </si>
  <si>
    <t>Next to Normal</t>
  </si>
  <si>
    <t>4/15/09</t>
  </si>
  <si>
    <t>1/16/11</t>
  </si>
  <si>
    <t>Original musical per IBDB; book and lyrics by Brian Yorkey</t>
  </si>
  <si>
    <t>Nice Work If You Can Get It</t>
  </si>
  <si>
    <t>4/24/12</t>
  </si>
  <si>
    <t>6/15/13</t>
  </si>
  <si>
    <t>Original musical per IBDB; music by George and Ira Gershwin</t>
  </si>
  <si>
    <t>Noises Off</t>
  </si>
  <si>
    <t>11/1/01</t>
  </si>
  <si>
    <t>3/13/16</t>
  </si>
  <si>
    <t>Multiple revivals in dataset (2001, 2016); original in 1983</t>
  </si>
  <si>
    <t>On Your Feet!</t>
  </si>
  <si>
    <t>11/5/15</t>
  </si>
  <si>
    <t>8/20/17</t>
  </si>
  <si>
    <t>Jukebox musical per IBDB; life story of Gloria and Emilio Estefan</t>
  </si>
  <si>
    <t>On the Town</t>
  </si>
  <si>
    <t>11/19/98</t>
  </si>
  <si>
    <t>9/6/15</t>
  </si>
  <si>
    <t>Multiple revivals in dataset (1998, 2014); original in 1944</t>
  </si>
  <si>
    <t>Once</t>
  </si>
  <si>
    <t>3/18/12</t>
  </si>
  <si>
    <t>1/4/15</t>
  </si>
  <si>
    <t>Adaptated from 2007 Irish film per Wikipedia</t>
  </si>
  <si>
    <t>Once On This Island</t>
  </si>
  <si>
    <t>12/3/17</t>
  </si>
  <si>
    <t>1/6/19</t>
  </si>
  <si>
    <t>Score by Lynn Ahrens and Stephen Flaherty</t>
  </si>
  <si>
    <t>Pippin</t>
  </si>
  <si>
    <t>4/25/13</t>
  </si>
  <si>
    <t>Music and lyrics by Stephen Schwartz</t>
  </si>
  <si>
    <t>Present Laughter</t>
  </si>
  <si>
    <t>11/18/96</t>
  </si>
  <si>
    <t>7/2/17</t>
  </si>
  <si>
    <t>Multiple revivals in dataset (1996, 2010, 2017); original in 1946</t>
  </si>
  <si>
    <t>Pretty Woman: The Musical</t>
  </si>
  <si>
    <t>8/16/18</t>
  </si>
  <si>
    <t>8/18/19</t>
  </si>
  <si>
    <t>Adapted from 1990 film per Wikepedia; music and lyrics by Bryan Adams and Jim Vallance</t>
  </si>
  <si>
    <t>Priscilla Queen of the Desert</t>
  </si>
  <si>
    <t>3/20/11</t>
  </si>
  <si>
    <t>6/24/12</t>
  </si>
  <si>
    <t>Jukebox musical adapted from 1994 film Adventures of Priscilla, Queen of the Desert per Wikepedia; book and film Stephan Elliot</t>
  </si>
  <si>
    <t>Proof</t>
  </si>
  <si>
    <t>10/24/00</t>
  </si>
  <si>
    <t>1/5/03</t>
  </si>
  <si>
    <t>Original play by David Auburn per IBDB</t>
  </si>
  <si>
    <t>Ragtime</t>
  </si>
  <si>
    <t>1/18/98</t>
  </si>
  <si>
    <t>1/10/10</t>
  </si>
  <si>
    <t>Based on 1975 E.L. Doctorow novel per Wikipedia; original (1998-2000) and brief revival (2009-2010) both in dataset; classified as Adaptation - Book since original run dominates data</t>
  </si>
  <si>
    <t>Rent</t>
  </si>
  <si>
    <t>4/29/96</t>
  </si>
  <si>
    <t>9/7/08</t>
  </si>
  <si>
    <t>Original musical per IBDB; music and lyrics by Jonathan Larson</t>
  </si>
  <si>
    <t>Riverdance - on Broadway</t>
  </si>
  <si>
    <t>3/16/00</t>
  </si>
  <si>
    <t>8/26/01</t>
  </si>
  <si>
    <t>Original musical per IBDB; originated as interval act on 1994 Eurovision Song Contest</t>
  </si>
  <si>
    <t>Rob Becker's Defending the Caveman</t>
  </si>
  <si>
    <t>3/26/95</t>
  </si>
  <si>
    <t>6/22/97</t>
  </si>
  <si>
    <t>Original play per IBDB; expanded from Rob Becker stand-up shows</t>
  </si>
  <si>
    <t>Rock of Ages</t>
  </si>
  <si>
    <t>4/7/09</t>
  </si>
  <si>
    <t>1/18/15</t>
  </si>
  <si>
    <t>Jukebox musical per Wikepedia; songs built around classic rock songs of 1980s</t>
  </si>
  <si>
    <t>Saturday Night Fever</t>
  </si>
  <si>
    <t>10/21/99</t>
  </si>
  <si>
    <t>12/30/00</t>
  </si>
  <si>
    <t>Jukebox musical based on 1977 film Saturday Night Fever per Wikepedia; songs performed by The Bee Gees</t>
  </si>
  <si>
    <t>School of Rock - The Musical</t>
  </si>
  <si>
    <t>12/6/15</t>
  </si>
  <si>
    <t>1/20/19</t>
  </si>
  <si>
    <t>Adapted from 2003 film of same name per Wikepedia; score by Andrew Lloyd Webber</t>
  </si>
  <si>
    <t>Show Boat</t>
  </si>
  <si>
    <t>10/2/94</t>
  </si>
  <si>
    <t>1/5/97</t>
  </si>
  <si>
    <t>Revival per IBDB with latest revival going 1994-1997</t>
  </si>
  <si>
    <t>Shrek the Musical</t>
  </si>
  <si>
    <t>12/14/08</t>
  </si>
  <si>
    <t>1/3/10</t>
  </si>
  <si>
    <t>Adapted from 2001 film per Wikipedia; music by Jeanine Tesoria and lyrics by David Lindsay-Abaire</t>
  </si>
  <si>
    <t>Side Man</t>
  </si>
  <si>
    <t>6/25/88</t>
  </si>
  <si>
    <t>10/31/99</t>
  </si>
  <si>
    <t>Original play per IBDB; written by Warren Leight</t>
  </si>
  <si>
    <t>Sister Act</t>
  </si>
  <si>
    <t>4/20/11</t>
  </si>
  <si>
    <t>8/26/12</t>
  </si>
  <si>
    <t>Adapted from 1992 film per Wikipedia; music by Alan Menken, lyrics by Glenn Slater</t>
  </si>
  <si>
    <t>Smokey Joe's Cafe</t>
  </si>
  <si>
    <t>3/2/95</t>
  </si>
  <si>
    <t>1/16/00</t>
  </si>
  <si>
    <t>Jukebox per Wikipedia; musical revue built around Leiber &amp; Stoller catalog (Hound Dog, Stand By Me, etc.)</t>
  </si>
  <si>
    <t>Something Rotten!</t>
  </si>
  <si>
    <t>4/22/15</t>
  </si>
  <si>
    <t>Original musical per IBDB; music and lyrics by Karen and Wayne Kirkpatrick</t>
  </si>
  <si>
    <t>South Pacific</t>
  </si>
  <si>
    <t>4/3/08</t>
  </si>
  <si>
    <t>8/22/10</t>
  </si>
  <si>
    <t>revival per IBDB</t>
  </si>
  <si>
    <t>Spamalot</t>
  </si>
  <si>
    <t>3/17/05</t>
  </si>
  <si>
    <t>Adapted from Monty Python and the Holy Grail film per Wikipedia</t>
  </si>
  <si>
    <t>Spider-Man Turn Off the Dark</t>
  </si>
  <si>
    <t>6/14/11</t>
  </si>
  <si>
    <t>1/4/14</t>
  </si>
  <si>
    <t>Based on Marvel Comics/Spider-Man films per Wikipedia; original score by Bono &amp; The Edge (not jukebox — songs written for the show)</t>
  </si>
  <si>
    <t>Spring Awakening</t>
  </si>
  <si>
    <t>12/10/06</t>
  </si>
  <si>
    <t>1/24/16</t>
  </si>
  <si>
    <t>Based on 1891 Frank Wedekind play per Wikipedia; original (2006-2009) and brief revival (2015-2016) both in dataset; original dominates data; original rock score by Duncan Sheik (not jukebox)</t>
  </si>
  <si>
    <t>Springsteen On Broadway</t>
  </si>
  <si>
    <t>10/12/17</t>
  </si>
  <si>
    <t>12/15/18</t>
  </si>
  <si>
    <t>Jukebox per Wikipedia; concert residency featuring Springsteen's existing catalog; not a traditional musical but played Broadway theaters; return engagement 2021 outside dataset</t>
  </si>
  <si>
    <t>Sunset Boulevard</t>
  </si>
  <si>
    <t>11/17/94</t>
  </si>
  <si>
    <t>6/25/17</t>
  </si>
  <si>
    <t>Based on 1950 Billy Wilder film per Wikipedia; original (1994-1997) and brief revival (2017) both in dataset; original dominates data</t>
  </si>
  <si>
    <t>Swing!</t>
  </si>
  <si>
    <t>12/9/99</t>
  </si>
  <si>
    <t>1/14/01</t>
  </si>
  <si>
    <t>Jukebox musical celebrating music ofSwing era per Wikipedia</t>
  </si>
  <si>
    <t>Tarzan</t>
  </si>
  <si>
    <t>5/10/06</t>
  </si>
  <si>
    <t>7/8/07</t>
  </si>
  <si>
    <t>Adapted from 1999 film Tarzan per Wikipedia; music and lyrics by Phil Collins</t>
  </si>
  <si>
    <t>The 25th Annual Putnam County Spelling Bee</t>
  </si>
  <si>
    <t>5/2/05</t>
  </si>
  <si>
    <t>1/20/08</t>
  </si>
  <si>
    <t>Original per IBDB; inspired by improv play C-R-E-P-U-S-C-U-L-E but fully original score by William Finn</t>
  </si>
  <si>
    <t>The 39 Steps</t>
  </si>
  <si>
    <t>1/15/08</t>
  </si>
  <si>
    <t>Adapted from 1935 Hitchcock film per Wikipedia</t>
  </si>
  <si>
    <t>The Addams Family</t>
  </si>
  <si>
    <t>4/8/10</t>
  </si>
  <si>
    <t>12/31/11</t>
  </si>
  <si>
    <t>Based on Charles Addams' original cartoons per Wikipedia (not the films/TV); comics classified under Adaptation - Book</t>
  </si>
  <si>
    <t>The Band's Visit</t>
  </si>
  <si>
    <t>11/9/17</t>
  </si>
  <si>
    <t>Adapted from 2007 film of same name per Wikipedia; music and lyrics by David Yazbek</t>
  </si>
  <si>
    <t>The Book of Mormon</t>
  </si>
  <si>
    <t>3/24/11</t>
  </si>
  <si>
    <t>Original musical per IBDB; created by Trey Parker, Matt Stone, and Robert Lopez</t>
  </si>
  <si>
    <t>The Color Purple</t>
  </si>
  <si>
    <t>1/1/05</t>
  </si>
  <si>
    <t>1/8/17</t>
  </si>
  <si>
    <t>multiple productions in dataset: original (2005-2008) and revival (2015-2017)</t>
  </si>
  <si>
    <t>The Curious Incident of the Dog in the Night-Time</t>
  </si>
  <si>
    <t>10/5/14</t>
  </si>
  <si>
    <t>The Drowsy Chaperone</t>
  </si>
  <si>
    <t>5/1/06</t>
  </si>
  <si>
    <t>12/30/07</t>
  </si>
  <si>
    <t>Original musical per IBDB</t>
  </si>
  <si>
    <t>The Full Monty</t>
  </si>
  <si>
    <t>10/26/00</t>
  </si>
  <si>
    <t>The Glass Menagerie</t>
  </si>
  <si>
    <t>11/15/94</t>
  </si>
  <si>
    <t>5/21/17</t>
  </si>
  <si>
    <t>Multiple revivals in dataset (1994, 2005, 2013, 2017); original in 1945</t>
  </si>
  <si>
    <t>The Heiress</t>
  </si>
  <si>
    <t>3/9/95</t>
  </si>
  <si>
    <t>2/9/13</t>
  </si>
  <si>
    <t>Multiple revivals in dataset (1995, 2012); original in 1947</t>
  </si>
  <si>
    <t>The King and I</t>
  </si>
  <si>
    <t>4/11/96</t>
  </si>
  <si>
    <t>6/26/16</t>
  </si>
  <si>
    <t>Multiple revivals in dataset (1996, 2015); original in 1951</t>
  </si>
  <si>
    <t>The Last Night of Ballyhoo</t>
  </si>
  <si>
    <t>2/27/97</t>
  </si>
  <si>
    <t>6/28/98</t>
  </si>
  <si>
    <t>The Life</t>
  </si>
  <si>
    <t>4/26/97</t>
  </si>
  <si>
    <t>6/7/98</t>
  </si>
  <si>
    <t>The Light in the Piazza</t>
  </si>
  <si>
    <t>4/18/05</t>
  </si>
  <si>
    <t>The Lion King</t>
  </si>
  <si>
    <t>11/13/97</t>
  </si>
  <si>
    <t>Adapted from 1994 film pf same name per Wikipedia</t>
  </si>
  <si>
    <t>The Little Mermaid</t>
  </si>
  <si>
    <t>1/10/08</t>
  </si>
  <si>
    <t>8/30/09</t>
  </si>
  <si>
    <t>Adapted from film and fairy tale by Hans Christian Anderson per Wikipedia</t>
  </si>
  <si>
    <t>The Music Man</t>
  </si>
  <si>
    <t>4/27/00</t>
  </si>
  <si>
    <t>12/30/01</t>
  </si>
  <si>
    <t>Original musical per IBDB with one revival in dataset; original in 1957; music and lyrics by Meredith Wilson</t>
  </si>
  <si>
    <t>The Phantom of the Opera</t>
  </si>
  <si>
    <t>11/26/88</t>
  </si>
  <si>
    <t>4/16/23</t>
  </si>
  <si>
    <t>Adapted from book per IBDB; longest running Broadway show</t>
  </si>
  <si>
    <t>The Play That Goes Wrong</t>
  </si>
  <si>
    <t>4/2/17</t>
  </si>
  <si>
    <t>The Producers</t>
  </si>
  <si>
    <t>4/19/01</t>
  </si>
  <si>
    <t>4/22/07</t>
  </si>
  <si>
    <t>Adapted from Mel Brooks film of same name per Wikipedia</t>
  </si>
  <si>
    <t>The Rocky Horror Show</t>
  </si>
  <si>
    <t>11/15/00</t>
  </si>
  <si>
    <t>1/6/02</t>
  </si>
  <si>
    <t>Revival of 1975 show</t>
  </si>
  <si>
    <t>The Scarlet Pimpernel</t>
  </si>
  <si>
    <t>11/9/97</t>
  </si>
  <si>
    <t>1/2/00</t>
  </si>
  <si>
    <t>The Sound of Music</t>
  </si>
  <si>
    <t>3/12/98</t>
  </si>
  <si>
    <t>6/20/99</t>
  </si>
  <si>
    <t>Revival of 1959 play; Rodgers and Hammerstein</t>
  </si>
  <si>
    <t>The Tale of the Allergist's Wife</t>
  </si>
  <si>
    <t>11/2/00</t>
  </si>
  <si>
    <t>9/15/02</t>
  </si>
  <si>
    <t>Original play per IBDB; written by Charles Busch</t>
  </si>
  <si>
    <t>Thoroughly Modern Millie</t>
  </si>
  <si>
    <t>4/18/02</t>
  </si>
  <si>
    <t>6/20/04</t>
  </si>
  <si>
    <t>Adapted from 1967 film of same name per Wikipedia</t>
  </si>
  <si>
    <t>Titanic</t>
  </si>
  <si>
    <t>4/23/97</t>
  </si>
  <si>
    <t>3/21/99</t>
  </si>
  <si>
    <t>Musical parody adapted from film of same name per Wikipedia</t>
  </si>
  <si>
    <t>To Kill A Mockingbird</t>
  </si>
  <si>
    <t>12/13/18</t>
  </si>
  <si>
    <t>1/16/22</t>
  </si>
  <si>
    <t>Urinetown The Musical</t>
  </si>
  <si>
    <t>9/20/01</t>
  </si>
  <si>
    <t>1/18/04</t>
  </si>
  <si>
    <t>Original musical per IBDB; created by Mark Hollman inspired by works of Bertolt Brecht and Kurt Weill</t>
  </si>
  <si>
    <t>Victor / Victoria</t>
  </si>
  <si>
    <t>10/25/95</t>
  </si>
  <si>
    <t>7/27/97</t>
  </si>
  <si>
    <t>Adapted from 1982 film of same name per Wikipedia</t>
  </si>
  <si>
    <t>Waitress</t>
  </si>
  <si>
    <t>4/24/16</t>
  </si>
  <si>
    <t>1/5/20</t>
  </si>
  <si>
    <t>Adapted from 2007 film of same name per Wikipedia; score by Sara Bareilles</t>
  </si>
  <si>
    <t>War Horse</t>
  </si>
  <si>
    <t>4/14/11</t>
  </si>
  <si>
    <t>1/6/13</t>
  </si>
  <si>
    <t>Adapted from 1982 book of same name</t>
  </si>
  <si>
    <t>West Side Story</t>
  </si>
  <si>
    <t>3/19/09</t>
  </si>
  <si>
    <t>Multiple revivals in dataset (2009, 2020); original in 1957</t>
  </si>
  <si>
    <t>Wicked</t>
  </si>
  <si>
    <t>10/30/03</t>
  </si>
  <si>
    <t>Wonderful Town</t>
  </si>
  <si>
    <t>11/23/03</t>
  </si>
  <si>
    <t>1/30/05</t>
  </si>
  <si>
    <t>Revival of 1953 production</t>
  </si>
  <si>
    <t>Xanadu</t>
  </si>
  <si>
    <t>7/10/07</t>
  </si>
  <si>
    <t>9/28/08</t>
  </si>
  <si>
    <t>Jukebox musical parody of 1980 film of same name</t>
  </si>
  <si>
    <t>Young Frankenstein</t>
  </si>
  <si>
    <t>11/8/07</t>
  </si>
  <si>
    <t>Adapted from film of same name per Wikipedia; music and lyrics by Mel Brooks</t>
  </si>
  <si>
    <t>Best Musical</t>
  </si>
  <si>
    <t>Won</t>
  </si>
  <si>
    <t>Best Play</t>
  </si>
  <si>
    <t>AVERAGE</t>
  </si>
  <si>
    <t>show</t>
  </si>
  <si>
    <t>show type</t>
  </si>
  <si>
    <t>show category</t>
  </si>
  <si>
    <t>opening date</t>
  </si>
  <si>
    <t>closing date</t>
  </si>
  <si>
    <t>source notes</t>
  </si>
  <si>
    <t>year</t>
  </si>
  <si>
    <t>category</t>
  </si>
  <si>
    <t>result</t>
  </si>
  <si>
    <t>nominations</t>
  </si>
  <si>
    <t>wins</t>
  </si>
  <si>
    <t>avg weekly before ($)</t>
  </si>
  <si>
    <t>avg weekly after ($)</t>
  </si>
  <si>
    <t>% change</t>
  </si>
  <si>
    <t>total gross ($M)</t>
  </si>
  <si>
    <t>total weeks</t>
  </si>
  <si>
    <t>avg capacity (%)</t>
  </si>
  <si>
    <t>SUMMARY</t>
  </si>
  <si>
    <t>n = 22</t>
  </si>
  <si>
    <t>difference ($)</t>
  </si>
  <si>
    <t>tony year</t>
  </si>
  <si>
    <t>• Correlation ≠ causation: the award may reflect underlying production quality</t>
  </si>
  <si>
    <t>• No control group of nominees who did not win — future work to isolate the award effect</t>
  </si>
  <si>
    <t>• The post-award window (June–December) coincides with summer tourism season</t>
  </si>
  <si>
    <t>Caveats</t>
  </si>
  <si>
    <t>There is less than a 0.1% probability this result occurred by chance.</t>
  </si>
  <si>
    <t>confirmed by both parametric (t-test) and non-parametric (Wilcoxon) methods.</t>
  </si>
  <si>
    <t>The post-Tony revenue increase is statistically significant at the p &lt; 0.001 level,</t>
  </si>
  <si>
    <t>Interpretation</t>
  </si>
  <si>
    <t>$162,946 to $323,638</t>
  </si>
  <si>
    <t>Mean weekly increase:</t>
  </si>
  <si>
    <t>95% Confidence Interval</t>
  </si>
  <si>
    <t>YES (p &lt; 0.001)</t>
  </si>
  <si>
    <t>p = 0.000002</t>
  </si>
  <si>
    <t>W = 3.0</t>
  </si>
  <si>
    <t>Wilcoxon signed-rank</t>
  </si>
  <si>
    <t>p = 0.000003</t>
  </si>
  <si>
    <t>t = 6.297</t>
  </si>
  <si>
    <t>Paired t-test</t>
  </si>
  <si>
    <t>significant?</t>
  </si>
  <si>
    <t>p-value</t>
  </si>
  <si>
    <t>statistic</t>
  </si>
  <si>
    <t>test</t>
  </si>
  <si>
    <t>Test Results</t>
  </si>
  <si>
    <t>Shows with decrease</t>
  </si>
  <si>
    <t>Shows with increase</t>
  </si>
  <si>
    <t>Mean % change</t>
  </si>
  <si>
    <t>Mean difference (after − before)</t>
  </si>
  <si>
    <t>Mean weekly gross — after</t>
  </si>
  <si>
    <t>Mean weekly gross — before</t>
  </si>
  <si>
    <t>Sample size (n)</t>
  </si>
  <si>
    <t>Vvalue</t>
  </si>
  <si>
    <t>metric</t>
  </si>
  <si>
    <t>Descriptive Statistics</t>
  </si>
  <si>
    <t>26 weeks following Tony ceremony date</t>
  </si>
  <si>
    <t>After period:</t>
  </si>
  <si>
    <t>All weeks from show opening to Tony ceremony date (June 15)</t>
  </si>
  <si>
    <t>Before period:</t>
  </si>
  <si>
    <t>22 Best Musical winners (1995–2018) with ≥10 weeks of data in each period</t>
  </si>
  <si>
    <t>Sample:</t>
  </si>
  <si>
    <t>Paired t-test (same shows measured before and after Tony ceremony)</t>
  </si>
  <si>
    <t>Method:</t>
  </si>
  <si>
    <t>Winning Best Musical Tony is associated with increased weekly gross revenue</t>
  </si>
  <si>
    <t>Hypothesis:</t>
  </si>
  <si>
    <t>Test Overview</t>
  </si>
  <si>
    <t>Statistical Validation: Tony Award Revenue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</si>
</sst>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\$#,##0.00"/>
    <numFmt numFmtId="167" formatCode="0.0"/>
  </numFmts>
  <fonts count="9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666666"/>
      <name val="Arial"/>
      <family val="2"/>
    </font>
    <font>
      <b/>
      <sz val="12"/>
      <color rgb="FFC4972F"/>
      <name val="Arial"/>
      <family val="2"/>
    </font>
    <font>
      <b/>
      <sz val="10"/>
      <color rgb="FF006400"/>
      <name val="Arial"/>
      <family val="2"/>
    </font>
    <font>
      <b/>
      <sz val="14"/>
      <color rgb="FF831C3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AF8F4"/>
        <bgColor rgb="FFFFFFFF"/>
      </patternFill>
    </fill>
    <fill>
      <patternFill patternType="solid">
        <fgColor rgb="FF831C3C"/>
        <bgColor rgb="FF333333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2" borderId="1" xfId="0" applyFont="1" applyFill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2" borderId="1" xfId="0" applyNumberFormat="1" applyFont="1" applyFill="1" applyBorder="1"/>
    <xf numFmtId="165" fontId="3" fillId="2" borderId="1" xfId="0" applyNumberFormat="1" applyFont="1" applyFill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" fontId="3" fillId="2" borderId="1" xfId="0" applyNumberFormat="1" applyFont="1" applyFill="1" applyBorder="1" applyAlignment="1">
      <alignment horizontal="center"/>
    </xf>
    <xf numFmtId="166" fontId="3" fillId="2" borderId="1" xfId="0" applyNumberFormat="1" applyFont="1" applyFill="1" applyBorder="1"/>
    <xf numFmtId="1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/>
    <xf numFmtId="167" fontId="3" fillId="2" borderId="1" xfId="0" applyNumberFormat="1" applyFont="1" applyFill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4" fontId="3" fillId="2" borderId="1" xfId="0" applyNumberFormat="1" applyFont="1" applyFill="1" applyBorder="1"/>
    <xf numFmtId="14" fontId="3" fillId="0" borderId="1" xfId="0" applyNumberFormat="1" applyFont="1" applyBorder="1"/>
    <xf numFmtId="14" fontId="0" fillId="0" borderId="0" xfId="0" applyNumberFormat="1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wrapText="1"/>
    </xf>
    <xf numFmtId="14" fontId="2" fillId="3" borderId="0" xfId="0" applyNumberFormat="1" applyFont="1" applyFill="1" applyAlignment="1">
      <alignment horizontal="left"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/>
    <xf numFmtId="165" fontId="4" fillId="0" borderId="2" xfId="0" applyNumberFormat="1" applyFont="1" applyBorder="1"/>
    <xf numFmtId="0" fontId="6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65" fontId="3" fillId="2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8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68BD7067-77D1-5748-8148-BEF528C4CE3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8F4"/>
      <rgbColor rgb="FFCCFFFF"/>
      <rgbColor rgb="FF5B1A2A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31C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zoomScaleNormal="100" workbookViewId="0">
      <pane ySplit="1" topLeftCell="A2" activePane="bottomLeft" state="frozen"/>
      <selection pane="bottomLeft" sqref="A1:F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22" customWidth="1"/>
    <col min="4" max="4" width="14" style="20" customWidth="1"/>
    <col min="5" max="5" width="14" customWidth="1"/>
    <col min="6" max="6" width="70" customWidth="1"/>
  </cols>
  <sheetData>
    <row r="1" spans="1:6" x14ac:dyDescent="0.2">
      <c r="A1" s="21" t="s">
        <v>560</v>
      </c>
      <c r="B1" s="21" t="s">
        <v>561</v>
      </c>
      <c r="C1" s="21" t="s">
        <v>562</v>
      </c>
      <c r="D1" s="23" t="s">
        <v>563</v>
      </c>
      <c r="E1" s="21" t="s">
        <v>564</v>
      </c>
      <c r="F1" s="21" t="s">
        <v>565</v>
      </c>
    </row>
    <row r="2" spans="1:6" x14ac:dyDescent="0.2">
      <c r="A2" s="1" t="s">
        <v>0</v>
      </c>
      <c r="B2" s="1" t="s">
        <v>1</v>
      </c>
      <c r="C2" s="1" t="s">
        <v>2</v>
      </c>
      <c r="D2" s="18" t="s">
        <v>3</v>
      </c>
      <c r="E2" s="18" t="s">
        <v>4</v>
      </c>
      <c r="F2" s="1" t="s">
        <v>5</v>
      </c>
    </row>
    <row r="3" spans="1:6" x14ac:dyDescent="0.2">
      <c r="A3" s="2" t="s">
        <v>6</v>
      </c>
      <c r="B3" s="2" t="s">
        <v>1</v>
      </c>
      <c r="C3" s="2" t="s">
        <v>7</v>
      </c>
      <c r="D3" s="19" t="s">
        <v>8</v>
      </c>
      <c r="E3" s="19" t="s">
        <v>9</v>
      </c>
      <c r="F3" s="2" t="s">
        <v>10</v>
      </c>
    </row>
    <row r="4" spans="1:6" x14ac:dyDescent="0.2">
      <c r="A4" s="1" t="s">
        <v>11</v>
      </c>
      <c r="B4" s="1" t="s">
        <v>1</v>
      </c>
      <c r="C4" s="1" t="s">
        <v>2</v>
      </c>
      <c r="D4" s="18" t="s">
        <v>12</v>
      </c>
      <c r="E4" s="18" t="s">
        <v>13</v>
      </c>
      <c r="F4" s="1" t="s">
        <v>14</v>
      </c>
    </row>
    <row r="5" spans="1:6" x14ac:dyDescent="0.2">
      <c r="A5" s="2" t="s">
        <v>15</v>
      </c>
      <c r="B5" s="2" t="s">
        <v>1</v>
      </c>
      <c r="C5" s="2" t="s">
        <v>2</v>
      </c>
      <c r="D5" s="19" t="s">
        <v>16</v>
      </c>
      <c r="E5" s="19" t="s">
        <v>17</v>
      </c>
      <c r="F5" s="2" t="s">
        <v>18</v>
      </c>
    </row>
    <row r="6" spans="1:6" x14ac:dyDescent="0.2">
      <c r="A6" s="1" t="s">
        <v>19</v>
      </c>
      <c r="B6" s="1" t="s">
        <v>1</v>
      </c>
      <c r="C6" s="1" t="s">
        <v>20</v>
      </c>
      <c r="D6" s="18" t="s">
        <v>21</v>
      </c>
      <c r="E6" s="18" t="s">
        <v>22</v>
      </c>
      <c r="F6" s="1" t="s">
        <v>23</v>
      </c>
    </row>
    <row r="7" spans="1:6" x14ac:dyDescent="0.2">
      <c r="A7" s="2" t="s">
        <v>24</v>
      </c>
      <c r="B7" s="2" t="s">
        <v>1</v>
      </c>
      <c r="C7" s="2" t="s">
        <v>2</v>
      </c>
      <c r="D7" s="19" t="s">
        <v>25</v>
      </c>
      <c r="E7" s="19" t="s">
        <v>26</v>
      </c>
      <c r="F7" s="2" t="s">
        <v>27</v>
      </c>
    </row>
    <row r="8" spans="1:6" x14ac:dyDescent="0.2">
      <c r="A8" s="1" t="s">
        <v>28</v>
      </c>
      <c r="B8" s="1" t="s">
        <v>29</v>
      </c>
      <c r="C8" s="1" t="s">
        <v>2</v>
      </c>
      <c r="D8" s="18" t="s">
        <v>30</v>
      </c>
      <c r="E8" s="18" t="s">
        <v>31</v>
      </c>
      <c r="F8" s="1" t="s">
        <v>32</v>
      </c>
    </row>
    <row r="9" spans="1:6" x14ac:dyDescent="0.2">
      <c r="A9" s="2" t="s">
        <v>33</v>
      </c>
      <c r="B9" s="2" t="s">
        <v>1</v>
      </c>
      <c r="C9" s="2" t="s">
        <v>20</v>
      </c>
      <c r="D9" s="19" t="s">
        <v>34</v>
      </c>
      <c r="E9" s="19" t="s">
        <v>35</v>
      </c>
      <c r="F9" s="2" t="s">
        <v>36</v>
      </c>
    </row>
    <row r="10" spans="1:6" x14ac:dyDescent="0.2">
      <c r="A10" s="1" t="s">
        <v>37</v>
      </c>
      <c r="B10" s="1" t="s">
        <v>1</v>
      </c>
      <c r="C10" s="1" t="s">
        <v>7</v>
      </c>
      <c r="D10" s="18" t="s">
        <v>38</v>
      </c>
      <c r="E10" s="18" t="s">
        <v>39</v>
      </c>
      <c r="F10" s="1" t="s">
        <v>40</v>
      </c>
    </row>
    <row r="11" spans="1:6" x14ac:dyDescent="0.2">
      <c r="A11" s="2" t="s">
        <v>41</v>
      </c>
      <c r="B11" s="2" t="s">
        <v>1</v>
      </c>
      <c r="C11" s="2" t="s">
        <v>42</v>
      </c>
      <c r="D11" s="19" t="s">
        <v>43</v>
      </c>
      <c r="E11" s="19" t="s">
        <v>44</v>
      </c>
      <c r="F11" s="2" t="s">
        <v>45</v>
      </c>
    </row>
    <row r="12" spans="1:6" x14ac:dyDescent="0.2">
      <c r="A12" s="1" t="s">
        <v>46</v>
      </c>
      <c r="B12" s="1" t="s">
        <v>1</v>
      </c>
      <c r="C12" s="1" t="s">
        <v>7</v>
      </c>
      <c r="D12" s="18" t="s">
        <v>47</v>
      </c>
      <c r="E12" s="18" t="s">
        <v>48</v>
      </c>
      <c r="F12" s="1" t="s">
        <v>49</v>
      </c>
    </row>
    <row r="13" spans="1:6" x14ac:dyDescent="0.2">
      <c r="A13" s="2" t="s">
        <v>50</v>
      </c>
      <c r="B13" s="2" t="s">
        <v>1</v>
      </c>
      <c r="C13" s="2" t="s">
        <v>7</v>
      </c>
      <c r="D13" s="19" t="s">
        <v>51</v>
      </c>
      <c r="E13" s="19" t="s">
        <v>52</v>
      </c>
      <c r="F13" s="2" t="s">
        <v>53</v>
      </c>
    </row>
    <row r="14" spans="1:6" x14ac:dyDescent="0.2">
      <c r="A14" s="1" t="s">
        <v>54</v>
      </c>
      <c r="B14" s="1" t="s">
        <v>1</v>
      </c>
      <c r="C14" s="1" t="s">
        <v>20</v>
      </c>
      <c r="D14" s="18" t="s">
        <v>55</v>
      </c>
      <c r="E14" s="18" t="s">
        <v>56</v>
      </c>
      <c r="F14" s="1" t="s">
        <v>57</v>
      </c>
    </row>
    <row r="15" spans="1:6" x14ac:dyDescent="0.2">
      <c r="A15" s="2" t="s">
        <v>58</v>
      </c>
      <c r="B15" s="2" t="s">
        <v>1</v>
      </c>
      <c r="C15" s="2" t="s">
        <v>2</v>
      </c>
      <c r="D15" s="19" t="s">
        <v>59</v>
      </c>
      <c r="E15" s="19" t="s">
        <v>60</v>
      </c>
      <c r="F15" s="2" t="s">
        <v>61</v>
      </c>
    </row>
    <row r="16" spans="1:6" x14ac:dyDescent="0.2">
      <c r="A16" s="1" t="s">
        <v>62</v>
      </c>
      <c r="B16" s="1" t="s">
        <v>1</v>
      </c>
      <c r="C16" s="1" t="s">
        <v>2</v>
      </c>
      <c r="D16" s="18" t="s">
        <v>63</v>
      </c>
      <c r="E16" s="18" t="s">
        <v>64</v>
      </c>
      <c r="F16" s="1" t="s">
        <v>65</v>
      </c>
    </row>
    <row r="17" spans="1:6" x14ac:dyDescent="0.2">
      <c r="A17" s="2" t="s">
        <v>66</v>
      </c>
      <c r="B17" s="2" t="s">
        <v>29</v>
      </c>
      <c r="C17" s="2" t="s">
        <v>2</v>
      </c>
      <c r="D17" s="19" t="s">
        <v>67</v>
      </c>
      <c r="E17" s="19" t="s">
        <v>68</v>
      </c>
      <c r="F17" s="2" t="s">
        <v>69</v>
      </c>
    </row>
    <row r="18" spans="1:6" x14ac:dyDescent="0.2">
      <c r="A18" s="1" t="s">
        <v>70</v>
      </c>
      <c r="B18" s="1" t="s">
        <v>29</v>
      </c>
      <c r="C18" s="1" t="s">
        <v>71</v>
      </c>
      <c r="D18" s="18" t="s">
        <v>72</v>
      </c>
      <c r="E18" s="18" t="s">
        <v>73</v>
      </c>
      <c r="F18" s="1" t="s">
        <v>36</v>
      </c>
    </row>
    <row r="19" spans="1:6" x14ac:dyDescent="0.2">
      <c r="A19" s="2" t="s">
        <v>74</v>
      </c>
      <c r="B19" s="2" t="s">
        <v>1</v>
      </c>
      <c r="C19" s="2" t="s">
        <v>75</v>
      </c>
      <c r="D19" s="19" t="s">
        <v>76</v>
      </c>
      <c r="E19" s="19" t="s">
        <v>77</v>
      </c>
      <c r="F19" s="2" t="s">
        <v>78</v>
      </c>
    </row>
    <row r="20" spans="1:6" x14ac:dyDescent="0.2">
      <c r="A20" s="1" t="s">
        <v>79</v>
      </c>
      <c r="B20" s="1" t="s">
        <v>1</v>
      </c>
      <c r="C20" s="1" t="s">
        <v>42</v>
      </c>
      <c r="D20" s="18" t="s">
        <v>80</v>
      </c>
      <c r="E20" s="18" t="s">
        <v>81</v>
      </c>
      <c r="F20" s="1" t="s">
        <v>82</v>
      </c>
    </row>
    <row r="21" spans="1:6" x14ac:dyDescent="0.2">
      <c r="A21" s="2" t="s">
        <v>83</v>
      </c>
      <c r="B21" s="2" t="s">
        <v>1</v>
      </c>
      <c r="C21" s="2" t="s">
        <v>7</v>
      </c>
      <c r="D21" s="19" t="s">
        <v>84</v>
      </c>
      <c r="E21" s="19" t="s">
        <v>85</v>
      </c>
      <c r="F21" s="2" t="s">
        <v>86</v>
      </c>
    </row>
    <row r="22" spans="1:6" x14ac:dyDescent="0.2">
      <c r="A22" s="1" t="s">
        <v>87</v>
      </c>
      <c r="B22" s="1" t="s">
        <v>1</v>
      </c>
      <c r="C22" s="1" t="s">
        <v>7</v>
      </c>
      <c r="D22" s="18" t="s">
        <v>88</v>
      </c>
      <c r="E22" s="18" t="s">
        <v>89</v>
      </c>
      <c r="F22" s="1" t="s">
        <v>90</v>
      </c>
    </row>
    <row r="23" spans="1:6" x14ac:dyDescent="0.2">
      <c r="A23" s="2" t="s">
        <v>91</v>
      </c>
      <c r="B23" s="2" t="s">
        <v>1</v>
      </c>
      <c r="C23" s="2" t="s">
        <v>75</v>
      </c>
      <c r="D23" s="19" t="s">
        <v>92</v>
      </c>
      <c r="E23" s="19" t="s">
        <v>93</v>
      </c>
      <c r="F23" s="2" t="s">
        <v>94</v>
      </c>
    </row>
    <row r="24" spans="1:6" x14ac:dyDescent="0.2">
      <c r="A24" s="1" t="s">
        <v>95</v>
      </c>
      <c r="B24" s="1" t="s">
        <v>1</v>
      </c>
      <c r="C24" s="1" t="s">
        <v>2</v>
      </c>
      <c r="D24" s="18" t="s">
        <v>96</v>
      </c>
      <c r="E24" s="18" t="s">
        <v>97</v>
      </c>
      <c r="F24" s="1" t="s">
        <v>98</v>
      </c>
    </row>
    <row r="25" spans="1:6" x14ac:dyDescent="0.2">
      <c r="A25" s="2" t="s">
        <v>99</v>
      </c>
      <c r="B25" s="2" t="s">
        <v>29</v>
      </c>
      <c r="C25" s="2" t="s">
        <v>2</v>
      </c>
      <c r="D25" s="19" t="s">
        <v>100</v>
      </c>
      <c r="E25" s="19" t="s">
        <v>101</v>
      </c>
      <c r="F25" s="2" t="s">
        <v>102</v>
      </c>
    </row>
    <row r="26" spans="1:6" x14ac:dyDescent="0.2">
      <c r="A26" s="1" t="s">
        <v>103</v>
      </c>
      <c r="B26" s="1" t="s">
        <v>1</v>
      </c>
      <c r="C26" s="1" t="s">
        <v>20</v>
      </c>
      <c r="D26" s="18" t="s">
        <v>104</v>
      </c>
      <c r="E26" s="18" t="s">
        <v>105</v>
      </c>
      <c r="F26" s="1" t="s">
        <v>106</v>
      </c>
    </row>
    <row r="27" spans="1:6" x14ac:dyDescent="0.2">
      <c r="A27" s="2" t="s">
        <v>107</v>
      </c>
      <c r="B27" s="2" t="s">
        <v>1</v>
      </c>
      <c r="C27" s="2" t="s">
        <v>2</v>
      </c>
      <c r="D27" s="19" t="s">
        <v>108</v>
      </c>
      <c r="E27" s="19" t="s">
        <v>39</v>
      </c>
      <c r="F27" s="2" t="s">
        <v>109</v>
      </c>
    </row>
    <row r="28" spans="1:6" x14ac:dyDescent="0.2">
      <c r="A28" s="1" t="s">
        <v>110</v>
      </c>
      <c r="B28" s="1" t="s">
        <v>1</v>
      </c>
      <c r="C28" s="1" t="s">
        <v>7</v>
      </c>
      <c r="D28" s="18" t="s">
        <v>111</v>
      </c>
      <c r="E28" s="18" t="s">
        <v>112</v>
      </c>
      <c r="F28" s="1" t="s">
        <v>113</v>
      </c>
    </row>
    <row r="29" spans="1:6" x14ac:dyDescent="0.2">
      <c r="A29" s="2" t="s">
        <v>114</v>
      </c>
      <c r="B29" s="2" t="s">
        <v>1</v>
      </c>
      <c r="C29" s="2" t="s">
        <v>75</v>
      </c>
      <c r="D29" s="19" t="s">
        <v>115</v>
      </c>
      <c r="E29" s="19" t="s">
        <v>116</v>
      </c>
      <c r="F29" s="2" t="s">
        <v>117</v>
      </c>
    </row>
    <row r="30" spans="1:6" x14ac:dyDescent="0.2">
      <c r="A30" s="1" t="s">
        <v>118</v>
      </c>
      <c r="B30" s="1" t="s">
        <v>1</v>
      </c>
      <c r="C30" s="1" t="s">
        <v>75</v>
      </c>
      <c r="D30" s="18" t="s">
        <v>119</v>
      </c>
      <c r="E30" s="18" t="s">
        <v>120</v>
      </c>
      <c r="F30" s="1" t="s">
        <v>121</v>
      </c>
    </row>
    <row r="31" spans="1:6" x14ac:dyDescent="0.2">
      <c r="A31" s="2" t="s">
        <v>122</v>
      </c>
      <c r="B31" s="2" t="s">
        <v>1</v>
      </c>
      <c r="C31" s="2" t="s">
        <v>42</v>
      </c>
      <c r="D31" s="19" t="s">
        <v>123</v>
      </c>
      <c r="E31" s="19" t="s">
        <v>124</v>
      </c>
      <c r="F31" s="2" t="s">
        <v>125</v>
      </c>
    </row>
    <row r="32" spans="1:6" x14ac:dyDescent="0.2">
      <c r="A32" s="1" t="s">
        <v>126</v>
      </c>
      <c r="B32" s="1" t="s">
        <v>1</v>
      </c>
      <c r="C32" s="1" t="s">
        <v>20</v>
      </c>
      <c r="D32" s="18" t="s">
        <v>127</v>
      </c>
      <c r="E32" s="18" t="s">
        <v>128</v>
      </c>
      <c r="F32" s="1" t="s">
        <v>129</v>
      </c>
    </row>
    <row r="33" spans="1:6" x14ac:dyDescent="0.2">
      <c r="A33" s="2" t="s">
        <v>130</v>
      </c>
      <c r="B33" s="2" t="s">
        <v>1</v>
      </c>
      <c r="C33" s="2" t="s">
        <v>75</v>
      </c>
      <c r="D33" s="19" t="s">
        <v>131</v>
      </c>
      <c r="E33" s="19" t="s">
        <v>132</v>
      </c>
      <c r="F33" s="2" t="s">
        <v>133</v>
      </c>
    </row>
    <row r="34" spans="1:6" x14ac:dyDescent="0.2">
      <c r="A34" s="1" t="s">
        <v>134</v>
      </c>
      <c r="B34" s="1" t="s">
        <v>29</v>
      </c>
      <c r="C34" s="1" t="s">
        <v>2</v>
      </c>
      <c r="D34" s="18" t="s">
        <v>135</v>
      </c>
      <c r="E34" s="18" t="s">
        <v>136</v>
      </c>
      <c r="F34" s="1" t="s">
        <v>137</v>
      </c>
    </row>
    <row r="35" spans="1:6" x14ac:dyDescent="0.2">
      <c r="A35" s="2" t="s">
        <v>138</v>
      </c>
      <c r="B35" s="2" t="s">
        <v>1</v>
      </c>
      <c r="C35" s="2" t="s">
        <v>7</v>
      </c>
      <c r="D35" s="19" t="s">
        <v>139</v>
      </c>
      <c r="E35" s="19" t="s">
        <v>140</v>
      </c>
      <c r="F35" s="2" t="s">
        <v>141</v>
      </c>
    </row>
    <row r="36" spans="1:6" x14ac:dyDescent="0.2">
      <c r="A36" s="1" t="s">
        <v>142</v>
      </c>
      <c r="B36" s="1" t="s">
        <v>29</v>
      </c>
      <c r="C36" s="1" t="s">
        <v>71</v>
      </c>
      <c r="D36" s="18" t="s">
        <v>143</v>
      </c>
      <c r="E36" s="18" t="s">
        <v>144</v>
      </c>
      <c r="F36" s="1" t="s">
        <v>145</v>
      </c>
    </row>
    <row r="37" spans="1:6" x14ac:dyDescent="0.2">
      <c r="A37" s="2" t="s">
        <v>146</v>
      </c>
      <c r="B37" s="2" t="s">
        <v>1</v>
      </c>
      <c r="C37" s="2" t="s">
        <v>42</v>
      </c>
      <c r="D37" s="19" t="s">
        <v>147</v>
      </c>
      <c r="E37" s="19" t="s">
        <v>148</v>
      </c>
      <c r="F37" s="2" t="s">
        <v>149</v>
      </c>
    </row>
    <row r="38" spans="1:6" x14ac:dyDescent="0.2">
      <c r="A38" s="1" t="s">
        <v>150</v>
      </c>
      <c r="B38" s="1" t="s">
        <v>1</v>
      </c>
      <c r="C38" s="1" t="s">
        <v>2</v>
      </c>
      <c r="D38" s="18" t="s">
        <v>151</v>
      </c>
      <c r="E38" s="18" t="s">
        <v>152</v>
      </c>
      <c r="F38" s="1" t="s">
        <v>153</v>
      </c>
    </row>
    <row r="39" spans="1:6" x14ac:dyDescent="0.2">
      <c r="A39" s="2" t="s">
        <v>154</v>
      </c>
      <c r="B39" s="2" t="s">
        <v>1</v>
      </c>
      <c r="C39" s="2" t="s">
        <v>7</v>
      </c>
      <c r="D39" s="19" t="s">
        <v>155</v>
      </c>
      <c r="E39" s="19" t="s">
        <v>156</v>
      </c>
      <c r="F39" s="2" t="s">
        <v>157</v>
      </c>
    </row>
    <row r="40" spans="1:6" x14ac:dyDescent="0.2">
      <c r="A40" s="1" t="s">
        <v>158</v>
      </c>
      <c r="B40" s="1" t="s">
        <v>1</v>
      </c>
      <c r="C40" s="1" t="s">
        <v>7</v>
      </c>
      <c r="D40" s="18" t="s">
        <v>159</v>
      </c>
      <c r="E40" s="18" t="s">
        <v>160</v>
      </c>
      <c r="F40" s="1" t="s">
        <v>161</v>
      </c>
    </row>
    <row r="41" spans="1:6" x14ac:dyDescent="0.2">
      <c r="A41" s="2" t="s">
        <v>162</v>
      </c>
      <c r="B41" s="2" t="s">
        <v>1</v>
      </c>
      <c r="C41" s="2" t="s">
        <v>75</v>
      </c>
      <c r="D41" s="19" t="s">
        <v>163</v>
      </c>
      <c r="E41" s="19" t="s">
        <v>164</v>
      </c>
      <c r="F41" s="2" t="s">
        <v>165</v>
      </c>
    </row>
    <row r="42" spans="1:6" x14ac:dyDescent="0.2">
      <c r="A42" s="1" t="s">
        <v>166</v>
      </c>
      <c r="B42" s="1" t="s">
        <v>1</v>
      </c>
      <c r="C42" s="1" t="s">
        <v>75</v>
      </c>
      <c r="D42" s="18" t="s">
        <v>167</v>
      </c>
      <c r="E42" s="18" t="s">
        <v>168</v>
      </c>
      <c r="F42" s="1" t="s">
        <v>169</v>
      </c>
    </row>
    <row r="43" spans="1:6" x14ac:dyDescent="0.2">
      <c r="A43" s="2" t="s">
        <v>170</v>
      </c>
      <c r="B43" s="2" t="s">
        <v>1</v>
      </c>
      <c r="C43" s="2" t="s">
        <v>7</v>
      </c>
      <c r="D43" s="19" t="s">
        <v>171</v>
      </c>
      <c r="E43" s="19" t="s">
        <v>172</v>
      </c>
      <c r="F43" s="2" t="s">
        <v>173</v>
      </c>
    </row>
    <row r="44" spans="1:6" x14ac:dyDescent="0.2">
      <c r="A44" s="1" t="s">
        <v>174</v>
      </c>
      <c r="B44" s="1" t="s">
        <v>1</v>
      </c>
      <c r="C44" s="1" t="s">
        <v>7</v>
      </c>
      <c r="D44" s="18" t="s">
        <v>175</v>
      </c>
      <c r="E44" s="18" t="s">
        <v>176</v>
      </c>
      <c r="F44" s="1" t="s">
        <v>177</v>
      </c>
    </row>
    <row r="45" spans="1:6" x14ac:dyDescent="0.2">
      <c r="A45" s="2" t="s">
        <v>178</v>
      </c>
      <c r="B45" s="2" t="s">
        <v>29</v>
      </c>
      <c r="C45" s="2" t="s">
        <v>71</v>
      </c>
      <c r="D45" s="19" t="s">
        <v>179</v>
      </c>
      <c r="E45" s="19" t="s">
        <v>180</v>
      </c>
      <c r="F45" s="2" t="s">
        <v>181</v>
      </c>
    </row>
    <row r="46" spans="1:6" x14ac:dyDescent="0.2">
      <c r="A46" s="1" t="s">
        <v>182</v>
      </c>
      <c r="B46" s="1" t="s">
        <v>29</v>
      </c>
      <c r="C46" s="1" t="s">
        <v>71</v>
      </c>
      <c r="D46" s="18" t="s">
        <v>183</v>
      </c>
      <c r="E46" s="18" t="s">
        <v>4</v>
      </c>
      <c r="F46" s="1" t="s">
        <v>184</v>
      </c>
    </row>
    <row r="47" spans="1:6" x14ac:dyDescent="0.2">
      <c r="A47" s="2" t="s">
        <v>185</v>
      </c>
      <c r="B47" s="2" t="s">
        <v>1</v>
      </c>
      <c r="C47" s="2" t="s">
        <v>2</v>
      </c>
      <c r="D47" s="19" t="s">
        <v>186</v>
      </c>
      <c r="E47" s="19" t="s">
        <v>187</v>
      </c>
      <c r="F47" s="2" t="s">
        <v>188</v>
      </c>
    </row>
    <row r="48" spans="1:6" x14ac:dyDescent="0.2">
      <c r="A48" s="1" t="s">
        <v>189</v>
      </c>
      <c r="B48" s="1" t="s">
        <v>1</v>
      </c>
      <c r="C48" s="1" t="s">
        <v>2</v>
      </c>
      <c r="D48" s="18" t="s">
        <v>190</v>
      </c>
      <c r="E48" s="18" t="s">
        <v>191</v>
      </c>
      <c r="F48" s="1" t="s">
        <v>192</v>
      </c>
    </row>
    <row r="49" spans="1:6" x14ac:dyDescent="0.2">
      <c r="A49" s="2" t="s">
        <v>193</v>
      </c>
      <c r="B49" s="2" t="s">
        <v>1</v>
      </c>
      <c r="C49" s="2" t="s">
        <v>2</v>
      </c>
      <c r="D49" s="19" t="s">
        <v>194</v>
      </c>
      <c r="E49" s="19" t="s">
        <v>195</v>
      </c>
      <c r="F49" s="2" t="s">
        <v>196</v>
      </c>
    </row>
    <row r="50" spans="1:6" x14ac:dyDescent="0.2">
      <c r="A50" s="1" t="s">
        <v>197</v>
      </c>
      <c r="B50" s="1" t="s">
        <v>1</v>
      </c>
      <c r="C50" s="1" t="s">
        <v>7</v>
      </c>
      <c r="D50" s="18" t="s">
        <v>198</v>
      </c>
      <c r="E50" s="18" t="s">
        <v>187</v>
      </c>
      <c r="F50" s="1" t="s">
        <v>199</v>
      </c>
    </row>
    <row r="51" spans="1:6" x14ac:dyDescent="0.2">
      <c r="A51" s="2" t="s">
        <v>200</v>
      </c>
      <c r="B51" s="2" t="s">
        <v>1</v>
      </c>
      <c r="C51" s="2" t="s">
        <v>20</v>
      </c>
      <c r="D51" s="19" t="s">
        <v>201</v>
      </c>
      <c r="E51" s="19" t="s">
        <v>39</v>
      </c>
      <c r="F51" s="2" t="s">
        <v>202</v>
      </c>
    </row>
    <row r="52" spans="1:6" x14ac:dyDescent="0.2">
      <c r="A52" s="1" t="s">
        <v>203</v>
      </c>
      <c r="B52" s="1" t="s">
        <v>29</v>
      </c>
      <c r="C52" s="1" t="s">
        <v>71</v>
      </c>
      <c r="D52" s="18" t="s">
        <v>204</v>
      </c>
      <c r="E52" s="18" t="s">
        <v>39</v>
      </c>
      <c r="F52" s="1" t="s">
        <v>205</v>
      </c>
    </row>
    <row r="53" spans="1:6" x14ac:dyDescent="0.2">
      <c r="A53" s="2" t="s">
        <v>206</v>
      </c>
      <c r="B53" s="2" t="s">
        <v>1</v>
      </c>
      <c r="C53" s="2" t="s">
        <v>75</v>
      </c>
      <c r="D53" s="19" t="s">
        <v>207</v>
      </c>
      <c r="E53" s="19" t="s">
        <v>208</v>
      </c>
      <c r="F53" s="2" t="s">
        <v>209</v>
      </c>
    </row>
    <row r="54" spans="1:6" x14ac:dyDescent="0.2">
      <c r="A54" s="1" t="s">
        <v>210</v>
      </c>
      <c r="B54" s="1" t="s">
        <v>1</v>
      </c>
      <c r="C54" s="1" t="s">
        <v>2</v>
      </c>
      <c r="D54" s="18" t="s">
        <v>211</v>
      </c>
      <c r="E54" s="18" t="s">
        <v>212</v>
      </c>
      <c r="F54" s="1" t="s">
        <v>213</v>
      </c>
    </row>
    <row r="55" spans="1:6" x14ac:dyDescent="0.2">
      <c r="A55" s="2" t="s">
        <v>214</v>
      </c>
      <c r="B55" s="2" t="s">
        <v>1</v>
      </c>
      <c r="C55" s="2" t="s">
        <v>2</v>
      </c>
      <c r="D55" s="19" t="s">
        <v>215</v>
      </c>
      <c r="E55" s="19" t="s">
        <v>216</v>
      </c>
      <c r="F55" s="2" t="s">
        <v>217</v>
      </c>
    </row>
    <row r="56" spans="1:6" x14ac:dyDescent="0.2">
      <c r="A56" s="1" t="s">
        <v>218</v>
      </c>
      <c r="B56" s="1" t="s">
        <v>1</v>
      </c>
      <c r="C56" s="1" t="s">
        <v>75</v>
      </c>
      <c r="D56" s="18" t="s">
        <v>219</v>
      </c>
      <c r="E56" s="18" t="s">
        <v>220</v>
      </c>
      <c r="F56" s="1" t="s">
        <v>221</v>
      </c>
    </row>
    <row r="57" spans="1:6" x14ac:dyDescent="0.2">
      <c r="A57" s="2" t="s">
        <v>222</v>
      </c>
      <c r="B57" s="2" t="s">
        <v>1</v>
      </c>
      <c r="C57" s="2" t="s">
        <v>75</v>
      </c>
      <c r="D57" s="19" t="s">
        <v>223</v>
      </c>
      <c r="E57" s="19" t="s">
        <v>26</v>
      </c>
      <c r="F57" s="2" t="s">
        <v>224</v>
      </c>
    </row>
    <row r="58" spans="1:6" x14ac:dyDescent="0.2">
      <c r="A58" s="1" t="s">
        <v>225</v>
      </c>
      <c r="B58" s="1" t="s">
        <v>1</v>
      </c>
      <c r="C58" s="1" t="s">
        <v>7</v>
      </c>
      <c r="D58" s="18" t="s">
        <v>226</v>
      </c>
      <c r="E58" s="18" t="s">
        <v>227</v>
      </c>
      <c r="F58" s="1" t="s">
        <v>228</v>
      </c>
    </row>
    <row r="59" spans="1:6" x14ac:dyDescent="0.2">
      <c r="A59" s="2" t="s">
        <v>229</v>
      </c>
      <c r="B59" s="2" t="s">
        <v>1</v>
      </c>
      <c r="C59" s="2" t="s">
        <v>42</v>
      </c>
      <c r="D59" s="19" t="s">
        <v>230</v>
      </c>
      <c r="E59" s="19" t="s">
        <v>231</v>
      </c>
      <c r="F59" s="2" t="s">
        <v>232</v>
      </c>
    </row>
    <row r="60" spans="1:6" x14ac:dyDescent="0.2">
      <c r="A60" s="1" t="s">
        <v>233</v>
      </c>
      <c r="B60" s="1" t="s">
        <v>1</v>
      </c>
      <c r="C60" s="1" t="s">
        <v>7</v>
      </c>
      <c r="D60" s="18" t="s">
        <v>234</v>
      </c>
      <c r="E60" s="18" t="s">
        <v>235</v>
      </c>
      <c r="F60" s="1" t="s">
        <v>236</v>
      </c>
    </row>
    <row r="61" spans="1:6" x14ac:dyDescent="0.2">
      <c r="A61" s="2" t="s">
        <v>237</v>
      </c>
      <c r="B61" s="2" t="s">
        <v>1</v>
      </c>
      <c r="C61" s="2" t="s">
        <v>2</v>
      </c>
      <c r="D61" s="19" t="s">
        <v>238</v>
      </c>
      <c r="E61" s="19" t="s">
        <v>239</v>
      </c>
      <c r="F61" s="2" t="s">
        <v>240</v>
      </c>
    </row>
    <row r="62" spans="1:6" x14ac:dyDescent="0.2">
      <c r="A62" s="1" t="s">
        <v>241</v>
      </c>
      <c r="B62" s="1" t="s">
        <v>1</v>
      </c>
      <c r="C62" s="1" t="s">
        <v>2</v>
      </c>
      <c r="D62" s="18" t="s">
        <v>242</v>
      </c>
      <c r="E62" s="18" t="s">
        <v>243</v>
      </c>
      <c r="F62" s="1" t="s">
        <v>244</v>
      </c>
    </row>
    <row r="63" spans="1:6" x14ac:dyDescent="0.2">
      <c r="A63" s="2" t="s">
        <v>245</v>
      </c>
      <c r="B63" s="2" t="s">
        <v>1</v>
      </c>
      <c r="C63" s="2" t="s">
        <v>7</v>
      </c>
      <c r="D63" s="19" t="s">
        <v>246</v>
      </c>
      <c r="E63" s="19" t="s">
        <v>247</v>
      </c>
      <c r="F63" s="2" t="s">
        <v>248</v>
      </c>
    </row>
    <row r="64" spans="1:6" x14ac:dyDescent="0.2">
      <c r="A64" s="1" t="s">
        <v>249</v>
      </c>
      <c r="B64" s="1" t="s">
        <v>1</v>
      </c>
      <c r="C64" s="1" t="s">
        <v>2</v>
      </c>
      <c r="D64" s="18" t="s">
        <v>250</v>
      </c>
      <c r="E64" s="18" t="s">
        <v>251</v>
      </c>
      <c r="F64" s="1" t="s">
        <v>252</v>
      </c>
    </row>
    <row r="65" spans="1:6" x14ac:dyDescent="0.2">
      <c r="A65" s="2" t="s">
        <v>253</v>
      </c>
      <c r="B65" s="2" t="s">
        <v>1</v>
      </c>
      <c r="C65" s="2" t="s">
        <v>42</v>
      </c>
      <c r="D65" s="19" t="s">
        <v>254</v>
      </c>
      <c r="E65" s="19" t="s">
        <v>255</v>
      </c>
      <c r="F65" s="2" t="s">
        <v>256</v>
      </c>
    </row>
    <row r="66" spans="1:6" x14ac:dyDescent="0.2">
      <c r="A66" s="1" t="s">
        <v>257</v>
      </c>
      <c r="B66" s="1" t="s">
        <v>1</v>
      </c>
      <c r="C66" s="1" t="s">
        <v>20</v>
      </c>
      <c r="D66" s="18" t="s">
        <v>258</v>
      </c>
      <c r="E66" s="18" t="s">
        <v>111</v>
      </c>
      <c r="F66" s="1" t="s">
        <v>259</v>
      </c>
    </row>
    <row r="67" spans="1:6" x14ac:dyDescent="0.2">
      <c r="A67" s="2" t="s">
        <v>260</v>
      </c>
      <c r="B67" s="2" t="s">
        <v>1</v>
      </c>
      <c r="C67" s="2" t="s">
        <v>2</v>
      </c>
      <c r="D67" s="19" t="s">
        <v>261</v>
      </c>
      <c r="E67" s="19" t="s">
        <v>262</v>
      </c>
      <c r="F67" s="2" t="s">
        <v>263</v>
      </c>
    </row>
    <row r="68" spans="1:6" x14ac:dyDescent="0.2">
      <c r="A68" s="1" t="s">
        <v>264</v>
      </c>
      <c r="B68" s="1" t="s">
        <v>1</v>
      </c>
      <c r="C68" s="1" t="s">
        <v>20</v>
      </c>
      <c r="D68" s="18" t="s">
        <v>265</v>
      </c>
      <c r="E68" s="18" t="s">
        <v>266</v>
      </c>
      <c r="F68" s="1" t="s">
        <v>267</v>
      </c>
    </row>
    <row r="69" spans="1:6" x14ac:dyDescent="0.2">
      <c r="A69" s="2" t="s">
        <v>268</v>
      </c>
      <c r="B69" s="2" t="s">
        <v>1</v>
      </c>
      <c r="C69" s="2" t="s">
        <v>7</v>
      </c>
      <c r="D69" s="19" t="s">
        <v>269</v>
      </c>
      <c r="E69" s="19" t="s">
        <v>172</v>
      </c>
      <c r="F69" s="2" t="s">
        <v>270</v>
      </c>
    </row>
    <row r="70" spans="1:6" x14ac:dyDescent="0.2">
      <c r="A70" s="1" t="s">
        <v>271</v>
      </c>
      <c r="B70" s="1" t="s">
        <v>1</v>
      </c>
      <c r="C70" s="1" t="s">
        <v>75</v>
      </c>
      <c r="D70" s="18" t="s">
        <v>272</v>
      </c>
      <c r="E70" s="18" t="s">
        <v>273</v>
      </c>
      <c r="F70" s="1" t="s">
        <v>274</v>
      </c>
    </row>
    <row r="71" spans="1:6" x14ac:dyDescent="0.2">
      <c r="A71" s="2" t="s">
        <v>275</v>
      </c>
      <c r="B71" s="2" t="s">
        <v>1</v>
      </c>
      <c r="C71" s="2" t="s">
        <v>42</v>
      </c>
      <c r="D71" s="19" t="s">
        <v>276</v>
      </c>
      <c r="E71" s="19" t="s">
        <v>277</v>
      </c>
      <c r="F71" s="2" t="s">
        <v>278</v>
      </c>
    </row>
    <row r="72" spans="1:6" x14ac:dyDescent="0.2">
      <c r="A72" s="1" t="s">
        <v>279</v>
      </c>
      <c r="B72" s="1" t="s">
        <v>1</v>
      </c>
      <c r="C72" s="1" t="s">
        <v>2</v>
      </c>
      <c r="D72" s="18" t="s">
        <v>280</v>
      </c>
      <c r="E72" s="18" t="s">
        <v>281</v>
      </c>
      <c r="F72" s="1" t="s">
        <v>282</v>
      </c>
    </row>
    <row r="73" spans="1:6" x14ac:dyDescent="0.2">
      <c r="A73" s="2" t="s">
        <v>283</v>
      </c>
      <c r="B73" s="2" t="s">
        <v>1</v>
      </c>
      <c r="C73" s="2" t="s">
        <v>42</v>
      </c>
      <c r="D73" s="19" t="s">
        <v>284</v>
      </c>
      <c r="E73" s="19" t="s">
        <v>285</v>
      </c>
      <c r="F73" s="2" t="s">
        <v>286</v>
      </c>
    </row>
    <row r="74" spans="1:6" x14ac:dyDescent="0.2">
      <c r="A74" s="1" t="s">
        <v>287</v>
      </c>
      <c r="B74" s="1" t="s">
        <v>1</v>
      </c>
      <c r="C74" s="1" t="s">
        <v>42</v>
      </c>
      <c r="D74" s="18" t="s">
        <v>288</v>
      </c>
      <c r="E74" s="18" t="s">
        <v>289</v>
      </c>
      <c r="F74" s="1" t="s">
        <v>290</v>
      </c>
    </row>
    <row r="75" spans="1:6" x14ac:dyDescent="0.2">
      <c r="A75" s="2" t="s">
        <v>291</v>
      </c>
      <c r="B75" s="2" t="s">
        <v>1</v>
      </c>
      <c r="C75" s="2" t="s">
        <v>2</v>
      </c>
      <c r="D75" s="19" t="s">
        <v>292</v>
      </c>
      <c r="E75" s="19" t="s">
        <v>293</v>
      </c>
      <c r="F75" s="2" t="s">
        <v>294</v>
      </c>
    </row>
    <row r="76" spans="1:6" x14ac:dyDescent="0.2">
      <c r="A76" s="1" t="s">
        <v>295</v>
      </c>
      <c r="B76" s="1" t="s">
        <v>1</v>
      </c>
      <c r="C76" s="1" t="s">
        <v>7</v>
      </c>
      <c r="D76" s="18" t="s">
        <v>296</v>
      </c>
      <c r="E76" s="18" t="s">
        <v>297</v>
      </c>
      <c r="F76" s="1" t="s">
        <v>298</v>
      </c>
    </row>
    <row r="77" spans="1:6" x14ac:dyDescent="0.2">
      <c r="A77" s="2" t="s">
        <v>299</v>
      </c>
      <c r="B77" s="2" t="s">
        <v>1</v>
      </c>
      <c r="C77" s="2" t="s">
        <v>75</v>
      </c>
      <c r="D77" s="19" t="s">
        <v>300</v>
      </c>
      <c r="E77" s="19" t="s">
        <v>301</v>
      </c>
      <c r="F77" s="2" t="s">
        <v>302</v>
      </c>
    </row>
    <row r="78" spans="1:6" x14ac:dyDescent="0.2">
      <c r="A78" s="1" t="s">
        <v>303</v>
      </c>
      <c r="B78" s="1" t="s">
        <v>1</v>
      </c>
      <c r="C78" s="1" t="s">
        <v>75</v>
      </c>
      <c r="D78" s="18" t="s">
        <v>304</v>
      </c>
      <c r="E78" s="18" t="s">
        <v>305</v>
      </c>
      <c r="F78" s="1" t="s">
        <v>306</v>
      </c>
    </row>
    <row r="79" spans="1:6" x14ac:dyDescent="0.2">
      <c r="A79" s="2" t="s">
        <v>307</v>
      </c>
      <c r="B79" s="2" t="s">
        <v>29</v>
      </c>
      <c r="C79" s="2" t="s">
        <v>2</v>
      </c>
      <c r="D79" s="19" t="s">
        <v>308</v>
      </c>
      <c r="E79" s="19" t="s">
        <v>309</v>
      </c>
      <c r="F79" s="2" t="s">
        <v>310</v>
      </c>
    </row>
    <row r="80" spans="1:6" x14ac:dyDescent="0.2">
      <c r="A80" s="1" t="s">
        <v>311</v>
      </c>
      <c r="B80" s="1" t="s">
        <v>1</v>
      </c>
      <c r="C80" s="1" t="s">
        <v>42</v>
      </c>
      <c r="D80" s="18" t="s">
        <v>312</v>
      </c>
      <c r="E80" s="18" t="s">
        <v>313</v>
      </c>
      <c r="F80" s="1" t="s">
        <v>314</v>
      </c>
    </row>
    <row r="81" spans="1:6" x14ac:dyDescent="0.2">
      <c r="A81" s="2" t="s">
        <v>315</v>
      </c>
      <c r="B81" s="2" t="s">
        <v>1</v>
      </c>
      <c r="C81" s="2" t="s">
        <v>2</v>
      </c>
      <c r="D81" s="19" t="s">
        <v>316</v>
      </c>
      <c r="E81" s="19" t="s">
        <v>317</v>
      </c>
      <c r="F81" s="2" t="s">
        <v>318</v>
      </c>
    </row>
    <row r="82" spans="1:6" x14ac:dyDescent="0.2">
      <c r="A82" s="1" t="s">
        <v>319</v>
      </c>
      <c r="B82" s="1" t="s">
        <v>1</v>
      </c>
      <c r="C82" s="1" t="s">
        <v>7</v>
      </c>
      <c r="D82" s="18" t="s">
        <v>320</v>
      </c>
      <c r="E82" s="18" t="s">
        <v>321</v>
      </c>
      <c r="F82" s="1" t="s">
        <v>322</v>
      </c>
    </row>
    <row r="83" spans="1:6" x14ac:dyDescent="0.2">
      <c r="A83" s="2" t="s">
        <v>323</v>
      </c>
      <c r="B83" s="2" t="s">
        <v>1</v>
      </c>
      <c r="C83" s="2" t="s">
        <v>2</v>
      </c>
      <c r="D83" s="19" t="s">
        <v>324</v>
      </c>
      <c r="E83" s="19" t="s">
        <v>325</v>
      </c>
      <c r="F83" s="2" t="s">
        <v>326</v>
      </c>
    </row>
    <row r="84" spans="1:6" x14ac:dyDescent="0.2">
      <c r="A84" s="1" t="s">
        <v>327</v>
      </c>
      <c r="B84" s="1" t="s">
        <v>1</v>
      </c>
      <c r="C84" s="1" t="s">
        <v>2</v>
      </c>
      <c r="D84" s="18" t="s">
        <v>328</v>
      </c>
      <c r="E84" s="18" t="s">
        <v>321</v>
      </c>
      <c r="F84" s="1" t="s">
        <v>329</v>
      </c>
    </row>
    <row r="85" spans="1:6" x14ac:dyDescent="0.2">
      <c r="A85" s="2" t="s">
        <v>330</v>
      </c>
      <c r="B85" s="2" t="s">
        <v>29</v>
      </c>
      <c r="C85" s="2" t="s">
        <v>2</v>
      </c>
      <c r="D85" s="19" t="s">
        <v>331</v>
      </c>
      <c r="E85" s="19" t="s">
        <v>332</v>
      </c>
      <c r="F85" s="2" t="s">
        <v>333</v>
      </c>
    </row>
    <row r="86" spans="1:6" x14ac:dyDescent="0.2">
      <c r="A86" s="1" t="s">
        <v>334</v>
      </c>
      <c r="B86" s="1" t="s">
        <v>1</v>
      </c>
      <c r="C86" s="1" t="s">
        <v>7</v>
      </c>
      <c r="D86" s="18" t="s">
        <v>335</v>
      </c>
      <c r="E86" s="18" t="s">
        <v>336</v>
      </c>
      <c r="F86" s="1" t="s">
        <v>337</v>
      </c>
    </row>
    <row r="87" spans="1:6" x14ac:dyDescent="0.2">
      <c r="A87" s="2" t="s">
        <v>338</v>
      </c>
      <c r="B87" s="2" t="s">
        <v>1</v>
      </c>
      <c r="C87" s="2" t="s">
        <v>42</v>
      </c>
      <c r="D87" s="19" t="s">
        <v>339</v>
      </c>
      <c r="E87" s="19" t="s">
        <v>340</v>
      </c>
      <c r="F87" s="2" t="s">
        <v>341</v>
      </c>
    </row>
    <row r="88" spans="1:6" x14ac:dyDescent="0.2">
      <c r="A88" s="1" t="s">
        <v>342</v>
      </c>
      <c r="B88" s="1" t="s">
        <v>29</v>
      </c>
      <c r="C88" s="1" t="s">
        <v>71</v>
      </c>
      <c r="D88" s="18" t="s">
        <v>343</v>
      </c>
      <c r="E88" s="18" t="s">
        <v>344</v>
      </c>
      <c r="F88" s="1" t="s">
        <v>345</v>
      </c>
    </row>
    <row r="89" spans="1:6" x14ac:dyDescent="0.2">
      <c r="A89" s="2" t="s">
        <v>346</v>
      </c>
      <c r="B89" s="2" t="s">
        <v>1</v>
      </c>
      <c r="C89" s="2" t="s">
        <v>20</v>
      </c>
      <c r="D89" s="19" t="s">
        <v>347</v>
      </c>
      <c r="E89" s="19" t="s">
        <v>348</v>
      </c>
      <c r="F89" s="2" t="s">
        <v>349</v>
      </c>
    </row>
    <row r="90" spans="1:6" x14ac:dyDescent="0.2">
      <c r="A90" s="1" t="s">
        <v>350</v>
      </c>
      <c r="B90" s="1" t="s">
        <v>1</v>
      </c>
      <c r="C90" s="1" t="s">
        <v>75</v>
      </c>
      <c r="D90" s="18" t="s">
        <v>351</v>
      </c>
      <c r="E90" s="18" t="s">
        <v>352</v>
      </c>
      <c r="F90" s="1" t="s">
        <v>353</v>
      </c>
    </row>
    <row r="91" spans="1:6" x14ac:dyDescent="0.2">
      <c r="A91" s="2" t="s">
        <v>354</v>
      </c>
      <c r="B91" s="2" t="s">
        <v>1</v>
      </c>
      <c r="C91" s="2" t="s">
        <v>75</v>
      </c>
      <c r="D91" s="19" t="s">
        <v>355</v>
      </c>
      <c r="E91" s="19" t="s">
        <v>356</v>
      </c>
      <c r="F91" s="2" t="s">
        <v>357</v>
      </c>
    </row>
    <row r="92" spans="1:6" x14ac:dyDescent="0.2">
      <c r="A92" s="1" t="s">
        <v>358</v>
      </c>
      <c r="B92" s="1" t="s">
        <v>29</v>
      </c>
      <c r="C92" s="1" t="s">
        <v>71</v>
      </c>
      <c r="D92" s="18" t="s">
        <v>359</v>
      </c>
      <c r="E92" s="18" t="s">
        <v>360</v>
      </c>
      <c r="F92" s="1" t="s">
        <v>361</v>
      </c>
    </row>
    <row r="93" spans="1:6" x14ac:dyDescent="0.2">
      <c r="A93" s="2" t="s">
        <v>362</v>
      </c>
      <c r="B93" s="2" t="s">
        <v>1</v>
      </c>
      <c r="C93" s="2" t="s">
        <v>42</v>
      </c>
      <c r="D93" s="19" t="s">
        <v>363</v>
      </c>
      <c r="E93" s="19" t="s">
        <v>364</v>
      </c>
      <c r="F93" s="2" t="s">
        <v>365</v>
      </c>
    </row>
    <row r="94" spans="1:6" x14ac:dyDescent="0.2">
      <c r="A94" s="1" t="s">
        <v>366</v>
      </c>
      <c r="B94" s="1" t="s">
        <v>1</v>
      </c>
      <c r="C94" s="1" t="s">
        <v>42</v>
      </c>
      <c r="D94" s="18" t="s">
        <v>367</v>
      </c>
      <c r="E94" s="18" t="s">
        <v>368</v>
      </c>
      <c r="F94" s="1" t="s">
        <v>369</v>
      </c>
    </row>
    <row r="95" spans="1:6" x14ac:dyDescent="0.2">
      <c r="A95" s="2" t="s">
        <v>370</v>
      </c>
      <c r="B95" s="2" t="s">
        <v>1</v>
      </c>
      <c r="C95" s="2" t="s">
        <v>7</v>
      </c>
      <c r="D95" s="19" t="s">
        <v>371</v>
      </c>
      <c r="E95" s="19" t="s">
        <v>372</v>
      </c>
      <c r="F95" s="2" t="s">
        <v>373</v>
      </c>
    </row>
    <row r="96" spans="1:6" x14ac:dyDescent="0.2">
      <c r="A96" s="1" t="s">
        <v>374</v>
      </c>
      <c r="B96" s="1" t="s">
        <v>1</v>
      </c>
      <c r="C96" s="1" t="s">
        <v>2</v>
      </c>
      <c r="D96" s="18" t="s">
        <v>375</v>
      </c>
      <c r="E96" s="18" t="s">
        <v>376</v>
      </c>
      <c r="F96" s="1" t="s">
        <v>377</v>
      </c>
    </row>
    <row r="97" spans="1:6" x14ac:dyDescent="0.2">
      <c r="A97" s="2" t="s">
        <v>378</v>
      </c>
      <c r="B97" s="2" t="s">
        <v>1</v>
      </c>
      <c r="C97" s="2" t="s">
        <v>7</v>
      </c>
      <c r="D97" s="19" t="s">
        <v>379</v>
      </c>
      <c r="E97" s="19" t="s">
        <v>380</v>
      </c>
      <c r="F97" s="2" t="s">
        <v>381</v>
      </c>
    </row>
    <row r="98" spans="1:6" x14ac:dyDescent="0.2">
      <c r="A98" s="1" t="s">
        <v>382</v>
      </c>
      <c r="B98" s="1" t="s">
        <v>29</v>
      </c>
      <c r="C98" s="1" t="s">
        <v>71</v>
      </c>
      <c r="D98" s="18" t="s">
        <v>383</v>
      </c>
      <c r="E98" s="18" t="s">
        <v>384</v>
      </c>
      <c r="F98" s="1" t="s">
        <v>385</v>
      </c>
    </row>
    <row r="99" spans="1:6" x14ac:dyDescent="0.2">
      <c r="A99" s="2" t="s">
        <v>386</v>
      </c>
      <c r="B99" s="2" t="s">
        <v>1</v>
      </c>
      <c r="C99" s="2" t="s">
        <v>7</v>
      </c>
      <c r="D99" s="19" t="s">
        <v>387</v>
      </c>
      <c r="E99" s="19" t="s">
        <v>388</v>
      </c>
      <c r="F99" s="2" t="s">
        <v>389</v>
      </c>
    </row>
    <row r="100" spans="1:6" x14ac:dyDescent="0.2">
      <c r="A100" s="1" t="s">
        <v>390</v>
      </c>
      <c r="B100" s="1" t="s">
        <v>1</v>
      </c>
      <c r="C100" s="1" t="s">
        <v>42</v>
      </c>
      <c r="D100" s="18" t="s">
        <v>391</v>
      </c>
      <c r="E100" s="18" t="s">
        <v>392</v>
      </c>
      <c r="F100" s="1" t="s">
        <v>393</v>
      </c>
    </row>
    <row r="101" spans="1:6" x14ac:dyDescent="0.2">
      <c r="A101" s="2" t="s">
        <v>394</v>
      </c>
      <c r="B101" s="2" t="s">
        <v>1</v>
      </c>
      <c r="C101" s="2" t="s">
        <v>75</v>
      </c>
      <c r="D101" s="19" t="s">
        <v>395</v>
      </c>
      <c r="E101" s="19" t="s">
        <v>266</v>
      </c>
      <c r="F101" s="2" t="s">
        <v>396</v>
      </c>
    </row>
    <row r="102" spans="1:6" x14ac:dyDescent="0.2">
      <c r="A102" s="1" t="s">
        <v>397</v>
      </c>
      <c r="B102" s="1" t="s">
        <v>1</v>
      </c>
      <c r="C102" s="1" t="s">
        <v>2</v>
      </c>
      <c r="D102" s="18" t="s">
        <v>398</v>
      </c>
      <c r="E102" s="18" t="s">
        <v>399</v>
      </c>
      <c r="F102" s="1" t="s">
        <v>400</v>
      </c>
    </row>
    <row r="103" spans="1:6" x14ac:dyDescent="0.2">
      <c r="A103" s="2" t="s">
        <v>401</v>
      </c>
      <c r="B103" s="2" t="s">
        <v>1</v>
      </c>
      <c r="C103" s="2" t="s">
        <v>7</v>
      </c>
      <c r="D103" s="19" t="s">
        <v>402</v>
      </c>
      <c r="E103" s="19" t="s">
        <v>191</v>
      </c>
      <c r="F103" s="2" t="s">
        <v>403</v>
      </c>
    </row>
    <row r="104" spans="1:6" x14ac:dyDescent="0.2">
      <c r="A104" s="1" t="s">
        <v>404</v>
      </c>
      <c r="B104" s="1" t="s">
        <v>1</v>
      </c>
      <c r="C104" s="1" t="s">
        <v>7</v>
      </c>
      <c r="D104" s="18" t="s">
        <v>405</v>
      </c>
      <c r="E104" s="18" t="s">
        <v>406</v>
      </c>
      <c r="F104" s="1" t="s">
        <v>407</v>
      </c>
    </row>
    <row r="105" spans="1:6" x14ac:dyDescent="0.2">
      <c r="A105" s="2" t="s">
        <v>408</v>
      </c>
      <c r="B105" s="2" t="s">
        <v>1</v>
      </c>
      <c r="C105" s="2" t="s">
        <v>20</v>
      </c>
      <c r="D105" s="19" t="s">
        <v>409</v>
      </c>
      <c r="E105" s="19" t="s">
        <v>410</v>
      </c>
      <c r="F105" s="2" t="s">
        <v>411</v>
      </c>
    </row>
    <row r="106" spans="1:6" x14ac:dyDescent="0.2">
      <c r="A106" s="1" t="s">
        <v>412</v>
      </c>
      <c r="B106" s="1" t="s">
        <v>1</v>
      </c>
      <c r="C106" s="1" t="s">
        <v>42</v>
      </c>
      <c r="D106" s="18" t="s">
        <v>413</v>
      </c>
      <c r="E106" s="18" t="s">
        <v>414</v>
      </c>
      <c r="F106" s="1" t="s">
        <v>415</v>
      </c>
    </row>
    <row r="107" spans="1:6" x14ac:dyDescent="0.2">
      <c r="A107" s="2" t="s">
        <v>416</v>
      </c>
      <c r="B107" s="2" t="s">
        <v>1</v>
      </c>
      <c r="C107" s="2" t="s">
        <v>7</v>
      </c>
      <c r="D107" s="19" t="s">
        <v>417</v>
      </c>
      <c r="E107" s="19" t="s">
        <v>418</v>
      </c>
      <c r="F107" s="2" t="s">
        <v>419</v>
      </c>
    </row>
    <row r="108" spans="1:6" x14ac:dyDescent="0.2">
      <c r="A108" s="1" t="s">
        <v>420</v>
      </c>
      <c r="B108" s="1" t="s">
        <v>1</v>
      </c>
      <c r="C108" s="1" t="s">
        <v>42</v>
      </c>
      <c r="D108" s="18" t="s">
        <v>421</v>
      </c>
      <c r="E108" s="18" t="s">
        <v>422</v>
      </c>
      <c r="F108" s="1" t="s">
        <v>423</v>
      </c>
    </row>
    <row r="109" spans="1:6" x14ac:dyDescent="0.2">
      <c r="A109" s="2" t="s">
        <v>424</v>
      </c>
      <c r="B109" s="2" t="s">
        <v>1</v>
      </c>
      <c r="C109" s="2" t="s">
        <v>7</v>
      </c>
      <c r="D109" s="19" t="s">
        <v>425</v>
      </c>
      <c r="E109" s="19" t="s">
        <v>426</v>
      </c>
      <c r="F109" s="2" t="s">
        <v>427</v>
      </c>
    </row>
    <row r="110" spans="1:6" x14ac:dyDescent="0.2">
      <c r="A110" s="1" t="s">
        <v>428</v>
      </c>
      <c r="B110" s="1" t="s">
        <v>1</v>
      </c>
      <c r="C110" s="1" t="s">
        <v>75</v>
      </c>
      <c r="D110" s="18" t="s">
        <v>429</v>
      </c>
      <c r="E110" s="18" t="s">
        <v>430</v>
      </c>
      <c r="F110" s="1" t="s">
        <v>431</v>
      </c>
    </row>
    <row r="111" spans="1:6" x14ac:dyDescent="0.2">
      <c r="A111" s="2" t="s">
        <v>432</v>
      </c>
      <c r="B111" s="2" t="s">
        <v>29</v>
      </c>
      <c r="C111" s="2" t="s">
        <v>7</v>
      </c>
      <c r="D111" s="19" t="s">
        <v>433</v>
      </c>
      <c r="E111" s="19" t="s">
        <v>348</v>
      </c>
      <c r="F111" s="2" t="s">
        <v>434</v>
      </c>
    </row>
    <row r="112" spans="1:6" x14ac:dyDescent="0.2">
      <c r="A112" s="1" t="s">
        <v>435</v>
      </c>
      <c r="B112" s="1" t="s">
        <v>1</v>
      </c>
      <c r="C112" s="1" t="s">
        <v>20</v>
      </c>
      <c r="D112" s="18" t="s">
        <v>436</v>
      </c>
      <c r="E112" s="18" t="s">
        <v>437</v>
      </c>
      <c r="F112" s="1" t="s">
        <v>438</v>
      </c>
    </row>
    <row r="113" spans="1:6" x14ac:dyDescent="0.2">
      <c r="A113" s="2" t="s">
        <v>439</v>
      </c>
      <c r="B113" s="2" t="s">
        <v>1</v>
      </c>
      <c r="C113" s="2" t="s">
        <v>7</v>
      </c>
      <c r="D113" s="19" t="s">
        <v>440</v>
      </c>
      <c r="E113" s="19" t="s">
        <v>235</v>
      </c>
      <c r="F113" s="2" t="s">
        <v>441</v>
      </c>
    </row>
    <row r="114" spans="1:6" x14ac:dyDescent="0.2">
      <c r="A114" s="1" t="s">
        <v>442</v>
      </c>
      <c r="B114" s="1" t="s">
        <v>1</v>
      </c>
      <c r="C114" s="1" t="s">
        <v>75</v>
      </c>
      <c r="D114" s="18" t="s">
        <v>443</v>
      </c>
      <c r="E114" s="18" t="s">
        <v>39</v>
      </c>
      <c r="F114" s="1" t="s">
        <v>444</v>
      </c>
    </row>
    <row r="115" spans="1:6" x14ac:dyDescent="0.2">
      <c r="A115" s="2" t="s">
        <v>445</v>
      </c>
      <c r="B115" s="2" t="s">
        <v>1</v>
      </c>
      <c r="C115" s="2" t="s">
        <v>20</v>
      </c>
      <c r="D115" s="19" t="s">
        <v>446</v>
      </c>
      <c r="E115" s="19" t="s">
        <v>447</v>
      </c>
      <c r="F115" s="2" t="s">
        <v>448</v>
      </c>
    </row>
    <row r="116" spans="1:6" x14ac:dyDescent="0.2">
      <c r="A116" s="1" t="s">
        <v>449</v>
      </c>
      <c r="B116" s="1" t="s">
        <v>29</v>
      </c>
      <c r="C116" s="1" t="s">
        <v>20</v>
      </c>
      <c r="D116" s="18" t="s">
        <v>450</v>
      </c>
      <c r="E116" s="18" t="s">
        <v>251</v>
      </c>
      <c r="F116" s="1" t="s">
        <v>129</v>
      </c>
    </row>
    <row r="117" spans="1:6" x14ac:dyDescent="0.2">
      <c r="A117" s="2" t="s">
        <v>451</v>
      </c>
      <c r="B117" s="2" t="s">
        <v>1</v>
      </c>
      <c r="C117" s="2" t="s">
        <v>75</v>
      </c>
      <c r="D117" s="19" t="s">
        <v>452</v>
      </c>
      <c r="E117" s="19" t="s">
        <v>453</v>
      </c>
      <c r="F117" s="2" t="s">
        <v>454</v>
      </c>
    </row>
    <row r="118" spans="1:6" x14ac:dyDescent="0.2">
      <c r="A118" s="1" t="s">
        <v>455</v>
      </c>
      <c r="B118" s="1" t="s">
        <v>1</v>
      </c>
      <c r="C118" s="1" t="s">
        <v>7</v>
      </c>
      <c r="D118" s="18" t="s">
        <v>456</v>
      </c>
      <c r="E118" s="18" t="s">
        <v>120</v>
      </c>
      <c r="F118" s="1" t="s">
        <v>270</v>
      </c>
    </row>
    <row r="119" spans="1:6" x14ac:dyDescent="0.2">
      <c r="A119" s="2" t="s">
        <v>457</v>
      </c>
      <c r="B119" s="2" t="s">
        <v>29</v>
      </c>
      <c r="C119" s="2" t="s">
        <v>2</v>
      </c>
      <c r="D119" s="19" t="s">
        <v>458</v>
      </c>
      <c r="E119" s="19" t="s">
        <v>459</v>
      </c>
      <c r="F119" s="2" t="s">
        <v>460</v>
      </c>
    </row>
    <row r="120" spans="1:6" x14ac:dyDescent="0.2">
      <c r="A120" s="1" t="s">
        <v>461</v>
      </c>
      <c r="B120" s="1" t="s">
        <v>29</v>
      </c>
      <c r="C120" s="1" t="s">
        <v>2</v>
      </c>
      <c r="D120" s="18" t="s">
        <v>462</v>
      </c>
      <c r="E120" s="18" t="s">
        <v>463</v>
      </c>
      <c r="F120" s="1" t="s">
        <v>464</v>
      </c>
    </row>
    <row r="121" spans="1:6" x14ac:dyDescent="0.2">
      <c r="A121" s="2" t="s">
        <v>465</v>
      </c>
      <c r="B121" s="2" t="s">
        <v>1</v>
      </c>
      <c r="C121" s="2" t="s">
        <v>2</v>
      </c>
      <c r="D121" s="19" t="s">
        <v>466</v>
      </c>
      <c r="E121" s="19" t="s">
        <v>467</v>
      </c>
      <c r="F121" s="2" t="s">
        <v>468</v>
      </c>
    </row>
    <row r="122" spans="1:6" x14ac:dyDescent="0.2">
      <c r="A122" s="1" t="s">
        <v>469</v>
      </c>
      <c r="B122" s="1" t="s">
        <v>29</v>
      </c>
      <c r="C122" s="1" t="s">
        <v>71</v>
      </c>
      <c r="D122" s="18" t="s">
        <v>470</v>
      </c>
      <c r="E122" s="18" t="s">
        <v>471</v>
      </c>
      <c r="F122" s="1" t="s">
        <v>205</v>
      </c>
    </row>
    <row r="123" spans="1:6" x14ac:dyDescent="0.2">
      <c r="A123" s="2" t="s">
        <v>472</v>
      </c>
      <c r="B123" s="2" t="s">
        <v>1</v>
      </c>
      <c r="C123" s="2" t="s">
        <v>75</v>
      </c>
      <c r="D123" s="19" t="s">
        <v>473</v>
      </c>
      <c r="E123" s="19" t="s">
        <v>474</v>
      </c>
      <c r="F123" s="2" t="s">
        <v>454</v>
      </c>
    </row>
    <row r="124" spans="1:6" x14ac:dyDescent="0.2">
      <c r="A124" s="1" t="s">
        <v>475</v>
      </c>
      <c r="B124" s="1" t="s">
        <v>1</v>
      </c>
      <c r="C124" s="1" t="s">
        <v>20</v>
      </c>
      <c r="D124" s="18" t="s">
        <v>476</v>
      </c>
      <c r="E124" s="18" t="s">
        <v>144</v>
      </c>
      <c r="F124" s="1" t="s">
        <v>129</v>
      </c>
    </row>
    <row r="125" spans="1:6" x14ac:dyDescent="0.2">
      <c r="A125" s="2" t="s">
        <v>477</v>
      </c>
      <c r="B125" s="2" t="s">
        <v>1</v>
      </c>
      <c r="C125" s="2" t="s">
        <v>7</v>
      </c>
      <c r="D125" s="19" t="s">
        <v>478</v>
      </c>
      <c r="E125" s="19" t="s">
        <v>39</v>
      </c>
      <c r="F125" s="2" t="s">
        <v>479</v>
      </c>
    </row>
    <row r="126" spans="1:6" x14ac:dyDescent="0.2">
      <c r="A126" s="1" t="s">
        <v>480</v>
      </c>
      <c r="B126" s="1" t="s">
        <v>1</v>
      </c>
      <c r="C126" s="1" t="s">
        <v>7</v>
      </c>
      <c r="D126" s="18" t="s">
        <v>481</v>
      </c>
      <c r="E126" s="18" t="s">
        <v>482</v>
      </c>
      <c r="F126" s="1" t="s">
        <v>483</v>
      </c>
    </row>
    <row r="127" spans="1:6" x14ac:dyDescent="0.2">
      <c r="A127" s="2" t="s">
        <v>484</v>
      </c>
      <c r="B127" s="2" t="s">
        <v>1</v>
      </c>
      <c r="C127" s="2" t="s">
        <v>2</v>
      </c>
      <c r="D127" s="19" t="s">
        <v>485</v>
      </c>
      <c r="E127" s="19" t="s">
        <v>486</v>
      </c>
      <c r="F127" s="2" t="s">
        <v>487</v>
      </c>
    </row>
    <row r="128" spans="1:6" x14ac:dyDescent="0.2">
      <c r="A128" s="1" t="s">
        <v>488</v>
      </c>
      <c r="B128" s="1" t="s">
        <v>1</v>
      </c>
      <c r="C128" s="1" t="s">
        <v>20</v>
      </c>
      <c r="D128" s="18" t="s">
        <v>489</v>
      </c>
      <c r="E128" s="18" t="s">
        <v>490</v>
      </c>
      <c r="F128" s="1" t="s">
        <v>491</v>
      </c>
    </row>
    <row r="129" spans="1:6" x14ac:dyDescent="0.2">
      <c r="A129" s="2" t="s">
        <v>492</v>
      </c>
      <c r="B129" s="2" t="s">
        <v>29</v>
      </c>
      <c r="C129" s="2" t="s">
        <v>71</v>
      </c>
      <c r="D129" s="19" t="s">
        <v>493</v>
      </c>
      <c r="E129" s="19" t="s">
        <v>325</v>
      </c>
      <c r="F129" s="2" t="s">
        <v>205</v>
      </c>
    </row>
    <row r="130" spans="1:6" x14ac:dyDescent="0.2">
      <c r="A130" s="1" t="s">
        <v>494</v>
      </c>
      <c r="B130" s="1" t="s">
        <v>1</v>
      </c>
      <c r="C130" s="1" t="s">
        <v>7</v>
      </c>
      <c r="D130" s="18" t="s">
        <v>495</v>
      </c>
      <c r="E130" s="18" t="s">
        <v>496</v>
      </c>
      <c r="F130" s="1" t="s">
        <v>497</v>
      </c>
    </row>
    <row r="131" spans="1:6" x14ac:dyDescent="0.2">
      <c r="A131" s="2" t="s">
        <v>498</v>
      </c>
      <c r="B131" s="2" t="s">
        <v>1</v>
      </c>
      <c r="C131" s="2" t="s">
        <v>2</v>
      </c>
      <c r="D131" s="19" t="s">
        <v>499</v>
      </c>
      <c r="E131" s="19" t="s">
        <v>500</v>
      </c>
      <c r="F131" s="2" t="s">
        <v>501</v>
      </c>
    </row>
    <row r="132" spans="1:6" x14ac:dyDescent="0.2">
      <c r="A132" s="1" t="s">
        <v>502</v>
      </c>
      <c r="B132" s="1" t="s">
        <v>1</v>
      </c>
      <c r="C132" s="1" t="s">
        <v>20</v>
      </c>
      <c r="D132" s="18" t="s">
        <v>503</v>
      </c>
      <c r="E132" s="18" t="s">
        <v>504</v>
      </c>
      <c r="F132" s="1" t="s">
        <v>129</v>
      </c>
    </row>
    <row r="133" spans="1:6" x14ac:dyDescent="0.2">
      <c r="A133" s="2" t="s">
        <v>505</v>
      </c>
      <c r="B133" s="2" t="s">
        <v>1</v>
      </c>
      <c r="C133" s="2" t="s">
        <v>2</v>
      </c>
      <c r="D133" s="19" t="s">
        <v>506</v>
      </c>
      <c r="E133" s="19" t="s">
        <v>507</v>
      </c>
      <c r="F133" s="2" t="s">
        <v>508</v>
      </c>
    </row>
    <row r="134" spans="1:6" x14ac:dyDescent="0.2">
      <c r="A134" s="1" t="s">
        <v>509</v>
      </c>
      <c r="B134" s="1" t="s">
        <v>29</v>
      </c>
      <c r="C134" s="1" t="s">
        <v>71</v>
      </c>
      <c r="D134" s="18" t="s">
        <v>510</v>
      </c>
      <c r="E134" s="18" t="s">
        <v>511</v>
      </c>
      <c r="F134" s="1" t="s">
        <v>512</v>
      </c>
    </row>
    <row r="135" spans="1:6" x14ac:dyDescent="0.2">
      <c r="A135" s="2" t="s">
        <v>513</v>
      </c>
      <c r="B135" s="2" t="s">
        <v>1</v>
      </c>
      <c r="C135" s="2" t="s">
        <v>7</v>
      </c>
      <c r="D135" s="19" t="s">
        <v>514</v>
      </c>
      <c r="E135" s="19" t="s">
        <v>515</v>
      </c>
      <c r="F135" s="2" t="s">
        <v>516</v>
      </c>
    </row>
    <row r="136" spans="1:6" x14ac:dyDescent="0.2">
      <c r="A136" s="1" t="s">
        <v>517</v>
      </c>
      <c r="B136" s="1" t="s">
        <v>1</v>
      </c>
      <c r="C136" s="1" t="s">
        <v>7</v>
      </c>
      <c r="D136" s="18" t="s">
        <v>518</v>
      </c>
      <c r="E136" s="18" t="s">
        <v>519</v>
      </c>
      <c r="F136" s="1" t="s">
        <v>520</v>
      </c>
    </row>
    <row r="137" spans="1:6" x14ac:dyDescent="0.2">
      <c r="A137" s="2" t="s">
        <v>521</v>
      </c>
      <c r="B137" s="2" t="s">
        <v>29</v>
      </c>
      <c r="C137" s="2" t="s">
        <v>20</v>
      </c>
      <c r="D137" s="19" t="s">
        <v>522</v>
      </c>
      <c r="E137" s="19" t="s">
        <v>523</v>
      </c>
      <c r="F137" s="2" t="s">
        <v>129</v>
      </c>
    </row>
    <row r="138" spans="1:6" x14ac:dyDescent="0.2">
      <c r="A138" s="1" t="s">
        <v>524</v>
      </c>
      <c r="B138" s="1" t="s">
        <v>1</v>
      </c>
      <c r="C138" s="1" t="s">
        <v>75</v>
      </c>
      <c r="D138" s="18" t="s">
        <v>525</v>
      </c>
      <c r="E138" s="18" t="s">
        <v>526</v>
      </c>
      <c r="F138" s="1" t="s">
        <v>527</v>
      </c>
    </row>
    <row r="139" spans="1:6" x14ac:dyDescent="0.2">
      <c r="A139" s="2" t="s">
        <v>528</v>
      </c>
      <c r="B139" s="2" t="s">
        <v>1</v>
      </c>
      <c r="C139" s="2" t="s">
        <v>7</v>
      </c>
      <c r="D139" s="19" t="s">
        <v>529</v>
      </c>
      <c r="E139" s="19" t="s">
        <v>530</v>
      </c>
      <c r="F139" s="2" t="s">
        <v>531</v>
      </c>
    </row>
    <row r="140" spans="1:6" x14ac:dyDescent="0.2">
      <c r="A140" s="1" t="s">
        <v>532</v>
      </c>
      <c r="B140" s="1" t="s">
        <v>1</v>
      </c>
      <c r="C140" s="1" t="s">
        <v>7</v>
      </c>
      <c r="D140" s="18" t="s">
        <v>533</v>
      </c>
      <c r="E140" s="18" t="s">
        <v>534</v>
      </c>
      <c r="F140" s="1" t="s">
        <v>535</v>
      </c>
    </row>
    <row r="141" spans="1:6" x14ac:dyDescent="0.2">
      <c r="A141" s="2" t="s">
        <v>536</v>
      </c>
      <c r="B141" s="2" t="s">
        <v>29</v>
      </c>
      <c r="C141" s="2" t="s">
        <v>20</v>
      </c>
      <c r="D141" s="19" t="s">
        <v>537</v>
      </c>
      <c r="E141" s="19" t="s">
        <v>538</v>
      </c>
      <c r="F141" s="2" t="s">
        <v>539</v>
      </c>
    </row>
    <row r="142" spans="1:6" x14ac:dyDescent="0.2">
      <c r="A142" s="1" t="s">
        <v>540</v>
      </c>
      <c r="B142" s="1" t="s">
        <v>1</v>
      </c>
      <c r="C142" s="1" t="s">
        <v>2</v>
      </c>
      <c r="D142" s="18" t="s">
        <v>541</v>
      </c>
      <c r="E142" s="18" t="s">
        <v>172</v>
      </c>
      <c r="F142" s="1" t="s">
        <v>542</v>
      </c>
    </row>
    <row r="143" spans="1:6" x14ac:dyDescent="0.2">
      <c r="A143" s="2" t="s">
        <v>543</v>
      </c>
      <c r="B143" s="2" t="s">
        <v>1</v>
      </c>
      <c r="C143" s="2" t="s">
        <v>20</v>
      </c>
      <c r="D143" s="19" t="s">
        <v>544</v>
      </c>
      <c r="E143" s="19" t="s">
        <v>39</v>
      </c>
      <c r="F143" s="2" t="s">
        <v>129</v>
      </c>
    </row>
    <row r="144" spans="1:6" x14ac:dyDescent="0.2">
      <c r="A144" s="1" t="s">
        <v>545</v>
      </c>
      <c r="B144" s="1" t="s">
        <v>1</v>
      </c>
      <c r="C144" s="1" t="s">
        <v>2</v>
      </c>
      <c r="D144" s="18" t="s">
        <v>546</v>
      </c>
      <c r="E144" s="18" t="s">
        <v>547</v>
      </c>
      <c r="F144" s="1" t="s">
        <v>548</v>
      </c>
    </row>
    <row r="145" spans="1:6" x14ac:dyDescent="0.2">
      <c r="A145" s="2" t="s">
        <v>549</v>
      </c>
      <c r="B145" s="2" t="s">
        <v>1</v>
      </c>
      <c r="C145" s="2" t="s">
        <v>42</v>
      </c>
      <c r="D145" s="19" t="s">
        <v>550</v>
      </c>
      <c r="E145" s="19" t="s">
        <v>551</v>
      </c>
      <c r="F145" s="2" t="s">
        <v>552</v>
      </c>
    </row>
    <row r="146" spans="1:6" x14ac:dyDescent="0.2">
      <c r="A146" s="1" t="s">
        <v>553</v>
      </c>
      <c r="B146" s="1" t="s">
        <v>1</v>
      </c>
      <c r="C146" s="1" t="s">
        <v>7</v>
      </c>
      <c r="D146" s="18" t="s">
        <v>554</v>
      </c>
      <c r="E146" s="18" t="s">
        <v>187</v>
      </c>
      <c r="F146" s="1" t="s">
        <v>555</v>
      </c>
    </row>
  </sheetData>
  <autoFilter ref="A1:F146" xr:uid="{00000000-0009-0000-0000-000000000000}"/>
  <pageMargins left="0.75" right="0.75" top="1" bottom="1" header="0.511811023622047" footer="0.511811023622047"/>
  <pageSetup paperSize="9" orientation="portrait" horizontalDpi="300" verticalDpi="300"/>
  <ignoredErrors>
    <ignoredError sqref="D2:D146 E2:E146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zoomScaleNormal="100" workbookViewId="0">
      <pane ySplit="1" topLeftCell="A2" activePane="bottomLeft" state="frozen"/>
      <selection pane="bottomLeft" activeCell="D36" sqref="D36"/>
    </sheetView>
  </sheetViews>
  <sheetFormatPr baseColWidth="10" defaultColWidth="8.6640625" defaultRowHeight="15" x14ac:dyDescent="0.2"/>
  <cols>
    <col min="1" max="1" width="52" customWidth="1"/>
    <col min="2" max="2" width="10" customWidth="1"/>
    <col min="3" max="3" width="16" customWidth="1"/>
    <col min="4" max="4" width="10" customWidth="1"/>
    <col min="5" max="5" width="14" customWidth="1"/>
    <col min="6" max="6" width="10" customWidth="1"/>
  </cols>
  <sheetData>
    <row r="1" spans="1:6" x14ac:dyDescent="0.2">
      <c r="A1" s="21" t="s">
        <v>560</v>
      </c>
      <c r="B1" s="21" t="s">
        <v>566</v>
      </c>
      <c r="C1" s="21" t="s">
        <v>567</v>
      </c>
      <c r="D1" s="21" t="s">
        <v>568</v>
      </c>
      <c r="E1" s="21" t="s">
        <v>569</v>
      </c>
      <c r="F1" s="21" t="s">
        <v>570</v>
      </c>
    </row>
    <row r="2" spans="1:6" x14ac:dyDescent="0.2">
      <c r="A2" s="1" t="s">
        <v>416</v>
      </c>
      <c r="B2" s="3">
        <v>1995</v>
      </c>
      <c r="C2" s="3" t="s">
        <v>556</v>
      </c>
      <c r="D2" s="3" t="s">
        <v>557</v>
      </c>
      <c r="E2" s="3">
        <v>7</v>
      </c>
      <c r="F2" s="3">
        <v>3</v>
      </c>
    </row>
    <row r="3" spans="1:6" x14ac:dyDescent="0.2">
      <c r="A3" s="2" t="s">
        <v>350</v>
      </c>
      <c r="B3" s="4">
        <v>1996</v>
      </c>
      <c r="C3" s="4" t="s">
        <v>556</v>
      </c>
      <c r="D3" s="4" t="s">
        <v>557</v>
      </c>
      <c r="E3" s="4">
        <v>10</v>
      </c>
      <c r="F3" s="4">
        <v>4</v>
      </c>
    </row>
    <row r="4" spans="1:6" x14ac:dyDescent="0.2">
      <c r="A4" s="1" t="s">
        <v>517</v>
      </c>
      <c r="B4" s="3">
        <v>1997</v>
      </c>
      <c r="C4" s="3" t="s">
        <v>556</v>
      </c>
      <c r="D4" s="3" t="s">
        <v>557</v>
      </c>
      <c r="E4" s="3">
        <v>5</v>
      </c>
      <c r="F4" s="3">
        <v>5</v>
      </c>
    </row>
    <row r="5" spans="1:6" x14ac:dyDescent="0.2">
      <c r="A5" s="2" t="s">
        <v>477</v>
      </c>
      <c r="B5" s="4">
        <v>1998</v>
      </c>
      <c r="C5" s="4" t="s">
        <v>556</v>
      </c>
      <c r="D5" s="4" t="s">
        <v>557</v>
      </c>
      <c r="E5" s="4">
        <v>11</v>
      </c>
      <c r="F5" s="4">
        <v>6</v>
      </c>
    </row>
    <row r="6" spans="1:6" x14ac:dyDescent="0.2">
      <c r="A6" s="1" t="s">
        <v>166</v>
      </c>
      <c r="B6" s="3">
        <v>1999</v>
      </c>
      <c r="C6" s="3" t="s">
        <v>556</v>
      </c>
      <c r="D6" s="3" t="s">
        <v>557</v>
      </c>
      <c r="E6" s="3">
        <v>2</v>
      </c>
      <c r="F6" s="3">
        <v>1</v>
      </c>
    </row>
    <row r="7" spans="1:6" x14ac:dyDescent="0.2">
      <c r="A7" s="2" t="s">
        <v>118</v>
      </c>
      <c r="B7" s="4">
        <v>2000</v>
      </c>
      <c r="C7" s="4" t="s">
        <v>556</v>
      </c>
      <c r="D7" s="4" t="s">
        <v>557</v>
      </c>
      <c r="E7" s="4">
        <v>9</v>
      </c>
      <c r="F7" s="4">
        <v>4</v>
      </c>
    </row>
    <row r="8" spans="1:6" x14ac:dyDescent="0.2">
      <c r="A8" s="1" t="s">
        <v>494</v>
      </c>
      <c r="B8" s="3">
        <v>2001</v>
      </c>
      <c r="C8" s="3" t="s">
        <v>556</v>
      </c>
      <c r="D8" s="3" t="s">
        <v>557</v>
      </c>
      <c r="E8" s="3">
        <v>15</v>
      </c>
      <c r="F8" s="3">
        <v>12</v>
      </c>
    </row>
    <row r="9" spans="1:6" x14ac:dyDescent="0.2">
      <c r="A9" s="2" t="s">
        <v>513</v>
      </c>
      <c r="B9" s="4">
        <v>2002</v>
      </c>
      <c r="C9" s="4" t="s">
        <v>556</v>
      </c>
      <c r="D9" s="4" t="s">
        <v>557</v>
      </c>
      <c r="E9" s="4">
        <v>11</v>
      </c>
      <c r="F9" s="4">
        <v>6</v>
      </c>
    </row>
    <row r="10" spans="1:6" x14ac:dyDescent="0.2">
      <c r="A10" s="1" t="s">
        <v>197</v>
      </c>
      <c r="B10" s="3">
        <v>2003</v>
      </c>
      <c r="C10" s="3" t="s">
        <v>556</v>
      </c>
      <c r="D10" s="3" t="s">
        <v>557</v>
      </c>
      <c r="E10" s="3">
        <v>13</v>
      </c>
      <c r="F10" s="3">
        <v>8</v>
      </c>
    </row>
    <row r="11" spans="1:6" x14ac:dyDescent="0.2">
      <c r="A11" s="2" t="s">
        <v>74</v>
      </c>
      <c r="B11" s="4">
        <v>2004</v>
      </c>
      <c r="C11" s="4" t="s">
        <v>556</v>
      </c>
      <c r="D11" s="4" t="s">
        <v>557</v>
      </c>
      <c r="E11" s="4">
        <v>6</v>
      </c>
      <c r="F11" s="4">
        <v>3</v>
      </c>
    </row>
    <row r="12" spans="1:6" x14ac:dyDescent="0.2">
      <c r="A12" s="1" t="s">
        <v>401</v>
      </c>
      <c r="B12" s="3">
        <v>2005</v>
      </c>
      <c r="C12" s="3" t="s">
        <v>556</v>
      </c>
      <c r="D12" s="3" t="s">
        <v>557</v>
      </c>
      <c r="E12" s="3">
        <v>14</v>
      </c>
      <c r="F12" s="3">
        <v>3</v>
      </c>
    </row>
    <row r="13" spans="1:6" x14ac:dyDescent="0.2">
      <c r="A13" s="2" t="s">
        <v>229</v>
      </c>
      <c r="B13" s="4">
        <v>2006</v>
      </c>
      <c r="C13" s="4" t="s">
        <v>556</v>
      </c>
      <c r="D13" s="4" t="s">
        <v>557</v>
      </c>
      <c r="E13" s="4">
        <v>8</v>
      </c>
      <c r="F13" s="4">
        <v>4</v>
      </c>
    </row>
    <row r="14" spans="1:6" x14ac:dyDescent="0.2">
      <c r="A14" s="1" t="s">
        <v>408</v>
      </c>
      <c r="B14" s="3">
        <v>2007</v>
      </c>
      <c r="C14" s="3" t="s">
        <v>556</v>
      </c>
      <c r="D14" s="3" t="s">
        <v>557</v>
      </c>
      <c r="E14" s="3">
        <v>11</v>
      </c>
      <c r="F14" s="3">
        <v>8</v>
      </c>
    </row>
    <row r="15" spans="1:6" x14ac:dyDescent="0.2">
      <c r="A15" s="2" t="s">
        <v>222</v>
      </c>
      <c r="B15" s="4">
        <v>2008</v>
      </c>
      <c r="C15" s="4" t="s">
        <v>556</v>
      </c>
      <c r="D15" s="4" t="s">
        <v>557</v>
      </c>
      <c r="E15" s="4">
        <v>13</v>
      </c>
      <c r="F15" s="4">
        <v>4</v>
      </c>
    </row>
    <row r="16" spans="1:6" x14ac:dyDescent="0.2">
      <c r="A16" s="1" t="s">
        <v>271</v>
      </c>
      <c r="B16" s="3">
        <v>2010</v>
      </c>
      <c r="C16" s="3" t="s">
        <v>556</v>
      </c>
      <c r="D16" s="3" t="s">
        <v>557</v>
      </c>
      <c r="E16" s="3">
        <v>8</v>
      </c>
      <c r="F16" s="3">
        <v>4</v>
      </c>
    </row>
    <row r="17" spans="1:6" x14ac:dyDescent="0.2">
      <c r="A17" s="2" t="s">
        <v>442</v>
      </c>
      <c r="B17" s="4">
        <v>2011</v>
      </c>
      <c r="C17" s="4" t="s">
        <v>556</v>
      </c>
      <c r="D17" s="4" t="s">
        <v>557</v>
      </c>
      <c r="E17" s="4">
        <v>14</v>
      </c>
      <c r="F17" s="4">
        <v>9</v>
      </c>
    </row>
    <row r="18" spans="1:6" x14ac:dyDescent="0.2">
      <c r="A18" s="1" t="s">
        <v>319</v>
      </c>
      <c r="B18" s="3">
        <v>2012</v>
      </c>
      <c r="C18" s="3" t="s">
        <v>556</v>
      </c>
      <c r="D18" s="3" t="s">
        <v>557</v>
      </c>
      <c r="E18" s="3">
        <v>11</v>
      </c>
      <c r="F18" s="3">
        <v>8</v>
      </c>
    </row>
    <row r="19" spans="1:6" x14ac:dyDescent="0.2">
      <c r="A19" s="2" t="s">
        <v>233</v>
      </c>
      <c r="B19" s="4">
        <v>2013</v>
      </c>
      <c r="C19" s="4" t="s">
        <v>556</v>
      </c>
      <c r="D19" s="4" t="s">
        <v>557</v>
      </c>
      <c r="E19" s="4">
        <v>13</v>
      </c>
      <c r="F19" s="4">
        <v>6</v>
      </c>
    </row>
    <row r="20" spans="1:6" x14ac:dyDescent="0.2">
      <c r="A20" s="1" t="s">
        <v>19</v>
      </c>
      <c r="B20" s="3">
        <v>2014</v>
      </c>
      <c r="C20" s="3" t="s">
        <v>556</v>
      </c>
      <c r="D20" s="3" t="s">
        <v>557</v>
      </c>
      <c r="E20" s="3">
        <v>10</v>
      </c>
      <c r="F20" s="3">
        <v>4</v>
      </c>
    </row>
    <row r="21" spans="1:6" x14ac:dyDescent="0.2">
      <c r="A21" s="2" t="s">
        <v>174</v>
      </c>
      <c r="B21" s="4">
        <v>2015</v>
      </c>
      <c r="C21" s="4" t="s">
        <v>556</v>
      </c>
      <c r="D21" s="4" t="s">
        <v>557</v>
      </c>
      <c r="E21" s="4">
        <v>12</v>
      </c>
      <c r="F21" s="4">
        <v>5</v>
      </c>
    </row>
    <row r="22" spans="1:6" x14ac:dyDescent="0.2">
      <c r="A22" s="1" t="s">
        <v>200</v>
      </c>
      <c r="B22" s="3">
        <v>2016</v>
      </c>
      <c r="C22" s="3" t="s">
        <v>556</v>
      </c>
      <c r="D22" s="3" t="s">
        <v>557</v>
      </c>
      <c r="E22" s="3">
        <v>16</v>
      </c>
      <c r="F22" s="3">
        <v>11</v>
      </c>
    </row>
    <row r="23" spans="1:6" x14ac:dyDescent="0.2">
      <c r="A23" s="2" t="s">
        <v>130</v>
      </c>
      <c r="B23" s="4">
        <v>2017</v>
      </c>
      <c r="C23" s="4" t="s">
        <v>556</v>
      </c>
      <c r="D23" s="4" t="s">
        <v>557</v>
      </c>
      <c r="E23" s="4">
        <v>9</v>
      </c>
      <c r="F23" s="4">
        <v>6</v>
      </c>
    </row>
    <row r="24" spans="1:6" x14ac:dyDescent="0.2">
      <c r="A24" s="1" t="s">
        <v>439</v>
      </c>
      <c r="B24" s="3">
        <v>2018</v>
      </c>
      <c r="C24" s="3" t="s">
        <v>556</v>
      </c>
      <c r="D24" s="3" t="s">
        <v>557</v>
      </c>
      <c r="E24" s="3">
        <v>11</v>
      </c>
      <c r="F24" s="3">
        <v>10</v>
      </c>
    </row>
    <row r="25" spans="1:6" x14ac:dyDescent="0.2">
      <c r="A25" s="2" t="s">
        <v>260</v>
      </c>
      <c r="B25" s="4">
        <v>1996</v>
      </c>
      <c r="C25" s="4" t="s">
        <v>558</v>
      </c>
      <c r="D25" s="4" t="s">
        <v>557</v>
      </c>
      <c r="E25" s="4">
        <v>5</v>
      </c>
      <c r="F25" s="4">
        <v>3</v>
      </c>
    </row>
    <row r="26" spans="1:6" x14ac:dyDescent="0.2">
      <c r="A26" s="1" t="s">
        <v>469</v>
      </c>
      <c r="B26" s="3">
        <v>1997</v>
      </c>
      <c r="C26" s="3" t="s">
        <v>558</v>
      </c>
      <c r="D26" s="3" t="s">
        <v>557</v>
      </c>
      <c r="E26" s="3">
        <v>3</v>
      </c>
      <c r="F26" s="3">
        <v>1</v>
      </c>
    </row>
    <row r="27" spans="1:6" x14ac:dyDescent="0.2">
      <c r="A27" s="2" t="s">
        <v>66</v>
      </c>
      <c r="B27" s="4">
        <v>1998</v>
      </c>
      <c r="C27" s="4" t="s">
        <v>558</v>
      </c>
      <c r="D27" s="4" t="s">
        <v>557</v>
      </c>
      <c r="E27" s="4">
        <v>3</v>
      </c>
      <c r="F27" s="4">
        <v>1</v>
      </c>
    </row>
    <row r="28" spans="1:6" x14ac:dyDescent="0.2">
      <c r="A28" s="1" t="s">
        <v>382</v>
      </c>
      <c r="B28" s="3">
        <v>1999</v>
      </c>
      <c r="C28" s="3" t="s">
        <v>558</v>
      </c>
      <c r="D28" s="3" t="s">
        <v>557</v>
      </c>
      <c r="E28" s="3">
        <v>4</v>
      </c>
      <c r="F28" s="3">
        <v>1</v>
      </c>
    </row>
    <row r="29" spans="1:6" x14ac:dyDescent="0.2">
      <c r="A29" s="2" t="s">
        <v>342</v>
      </c>
      <c r="B29" s="4">
        <v>2001</v>
      </c>
      <c r="C29" s="4" t="s">
        <v>558</v>
      </c>
      <c r="D29" s="4" t="s">
        <v>557</v>
      </c>
      <c r="E29" s="4">
        <v>3</v>
      </c>
      <c r="F29" s="4">
        <v>2</v>
      </c>
    </row>
    <row r="30" spans="1:6" x14ac:dyDescent="0.2">
      <c r="A30" s="1" t="s">
        <v>70</v>
      </c>
      <c r="B30" s="3">
        <v>2008</v>
      </c>
      <c r="C30" s="3" t="s">
        <v>558</v>
      </c>
      <c r="D30" s="3" t="s">
        <v>557</v>
      </c>
      <c r="E30" s="3">
        <v>7</v>
      </c>
      <c r="F30" s="3">
        <v>5</v>
      </c>
    </row>
    <row r="31" spans="1:6" x14ac:dyDescent="0.2">
      <c r="A31" s="2" t="s">
        <v>178</v>
      </c>
      <c r="B31" s="4">
        <v>2009</v>
      </c>
      <c r="C31" s="4" t="s">
        <v>558</v>
      </c>
      <c r="D31" s="4" t="s">
        <v>557</v>
      </c>
      <c r="E31" s="4">
        <v>5</v>
      </c>
      <c r="F31" s="4">
        <v>1</v>
      </c>
    </row>
    <row r="32" spans="1:6" x14ac:dyDescent="0.2">
      <c r="A32" s="1" t="s">
        <v>536</v>
      </c>
      <c r="B32" s="3">
        <v>2011</v>
      </c>
      <c r="C32" s="3" t="s">
        <v>558</v>
      </c>
      <c r="D32" s="3" t="s">
        <v>557</v>
      </c>
      <c r="E32" s="3">
        <v>5</v>
      </c>
      <c r="F32" s="3">
        <v>5</v>
      </c>
    </row>
    <row r="33" spans="1:6" x14ac:dyDescent="0.2">
      <c r="A33" s="2" t="s">
        <v>449</v>
      </c>
      <c r="B33" s="4">
        <v>2015</v>
      </c>
      <c r="C33" s="4" t="s">
        <v>558</v>
      </c>
      <c r="D33" s="4" t="s">
        <v>557</v>
      </c>
      <c r="E33" s="4">
        <v>6</v>
      </c>
      <c r="F33" s="4">
        <v>5</v>
      </c>
    </row>
    <row r="34" spans="1:6" x14ac:dyDescent="0.2">
      <c r="A34" s="1" t="s">
        <v>203</v>
      </c>
      <c r="B34" s="3">
        <v>2018</v>
      </c>
      <c r="C34" s="3" t="s">
        <v>558</v>
      </c>
      <c r="D34" s="3" t="s">
        <v>557</v>
      </c>
      <c r="E34" s="3">
        <v>10</v>
      </c>
      <c r="F34" s="3">
        <v>6</v>
      </c>
    </row>
  </sheetData>
  <autoFilter ref="A1:F3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8B26-C5A9-E24D-A7EF-EF22044CDC3F}">
  <dimension ref="A1:F25"/>
  <sheetViews>
    <sheetView zoomScaleNormal="100" workbookViewId="0">
      <selection activeCell="H25" sqref="H25"/>
    </sheetView>
  </sheetViews>
  <sheetFormatPr baseColWidth="10" defaultColWidth="8.6640625" defaultRowHeight="15" x14ac:dyDescent="0.2"/>
  <cols>
    <col min="1" max="1" width="45" customWidth="1"/>
    <col min="2" max="2" width="12" customWidth="1"/>
    <col min="3" max="4" width="22" customWidth="1"/>
    <col min="5" max="5" width="18" customWidth="1"/>
    <col min="6" max="6" width="12" customWidth="1"/>
  </cols>
  <sheetData>
    <row r="1" spans="1:6" x14ac:dyDescent="0.2">
      <c r="A1" s="21" t="s">
        <v>560</v>
      </c>
      <c r="B1" s="21" t="s">
        <v>580</v>
      </c>
      <c r="C1" s="21" t="s">
        <v>571</v>
      </c>
      <c r="D1" s="21" t="s">
        <v>572</v>
      </c>
      <c r="E1" s="21" t="s">
        <v>579</v>
      </c>
      <c r="F1" s="21" t="s">
        <v>573</v>
      </c>
    </row>
    <row r="2" spans="1:6" x14ac:dyDescent="0.2">
      <c r="A2" s="1" t="s">
        <v>416</v>
      </c>
      <c r="B2" s="3">
        <v>1995</v>
      </c>
      <c r="C2" s="5">
        <v>792342</v>
      </c>
      <c r="D2" s="5">
        <v>768632</v>
      </c>
      <c r="E2" s="5">
        <f t="shared" ref="E2:E23" si="0">D2-C2</f>
        <v>-23710</v>
      </c>
      <c r="F2" s="6">
        <f t="shared" ref="F2:F23" si="1">E2/C2</f>
        <v>-2.9923946982489884E-2</v>
      </c>
    </row>
    <row r="3" spans="1:6" x14ac:dyDescent="0.2">
      <c r="A3" s="2" t="s">
        <v>517</v>
      </c>
      <c r="B3" s="4">
        <v>1997</v>
      </c>
      <c r="C3" s="7">
        <v>350874</v>
      </c>
      <c r="D3" s="7">
        <v>687223</v>
      </c>
      <c r="E3" s="7">
        <f t="shared" si="0"/>
        <v>336349</v>
      </c>
      <c r="F3" s="8">
        <f t="shared" si="1"/>
        <v>0.95860337329069689</v>
      </c>
    </row>
    <row r="4" spans="1:6" x14ac:dyDescent="0.2">
      <c r="A4" s="1" t="s">
        <v>477</v>
      </c>
      <c r="B4" s="3">
        <v>1998</v>
      </c>
      <c r="C4" s="5">
        <v>787850</v>
      </c>
      <c r="D4" s="5">
        <v>826644</v>
      </c>
      <c r="E4" s="5">
        <f t="shared" si="0"/>
        <v>38794</v>
      </c>
      <c r="F4" s="6">
        <f t="shared" si="1"/>
        <v>4.9240337627721016E-2</v>
      </c>
    </row>
    <row r="5" spans="1:6" x14ac:dyDescent="0.2">
      <c r="A5" s="2" t="s">
        <v>166</v>
      </c>
      <c r="B5" s="4">
        <v>1999</v>
      </c>
      <c r="C5" s="7">
        <v>553207</v>
      </c>
      <c r="D5" s="7">
        <v>627147</v>
      </c>
      <c r="E5" s="7">
        <f t="shared" si="0"/>
        <v>73940</v>
      </c>
      <c r="F5" s="8">
        <f t="shared" si="1"/>
        <v>0.13365702169350713</v>
      </c>
    </row>
    <row r="6" spans="1:6" x14ac:dyDescent="0.2">
      <c r="A6" s="1" t="s">
        <v>118</v>
      </c>
      <c r="B6" s="3">
        <v>2000</v>
      </c>
      <c r="C6" s="5">
        <v>536133</v>
      </c>
      <c r="D6" s="5">
        <v>624125</v>
      </c>
      <c r="E6" s="5">
        <f t="shared" si="0"/>
        <v>87992</v>
      </c>
      <c r="F6" s="6">
        <f t="shared" si="1"/>
        <v>0.16412345444134199</v>
      </c>
    </row>
    <row r="7" spans="1:6" x14ac:dyDescent="0.2">
      <c r="A7" s="2" t="s">
        <v>494</v>
      </c>
      <c r="B7" s="4">
        <v>2001</v>
      </c>
      <c r="C7" s="7">
        <v>977636</v>
      </c>
      <c r="D7" s="7">
        <v>1067928</v>
      </c>
      <c r="E7" s="7">
        <f t="shared" si="0"/>
        <v>90292</v>
      </c>
      <c r="F7" s="8">
        <f t="shared" si="1"/>
        <v>9.2357482744088795E-2</v>
      </c>
    </row>
    <row r="8" spans="1:6" x14ac:dyDescent="0.2">
      <c r="A8" s="1" t="s">
        <v>513</v>
      </c>
      <c r="B8" s="3">
        <v>2002</v>
      </c>
      <c r="C8" s="5">
        <v>564163</v>
      </c>
      <c r="D8" s="5">
        <v>829140</v>
      </c>
      <c r="E8" s="5">
        <f t="shared" si="0"/>
        <v>264977</v>
      </c>
      <c r="F8" s="6">
        <f t="shared" si="1"/>
        <v>0.46968163456306067</v>
      </c>
    </row>
    <row r="9" spans="1:6" x14ac:dyDescent="0.2">
      <c r="A9" s="2" t="s">
        <v>197</v>
      </c>
      <c r="B9" s="4">
        <v>2003</v>
      </c>
      <c r="C9" s="7">
        <v>913602</v>
      </c>
      <c r="D9" s="7">
        <v>981978</v>
      </c>
      <c r="E9" s="7">
        <f t="shared" si="0"/>
        <v>68376</v>
      </c>
      <c r="F9" s="8">
        <f t="shared" si="1"/>
        <v>7.484221794610782E-2</v>
      </c>
    </row>
    <row r="10" spans="1:6" x14ac:dyDescent="0.2">
      <c r="A10" s="1" t="s">
        <v>74</v>
      </c>
      <c r="B10" s="3">
        <v>2004</v>
      </c>
      <c r="C10" s="5">
        <v>353790</v>
      </c>
      <c r="D10" s="5">
        <v>489697</v>
      </c>
      <c r="E10" s="5">
        <f t="shared" si="0"/>
        <v>135907</v>
      </c>
      <c r="F10" s="6">
        <f t="shared" si="1"/>
        <v>0.38414596229401621</v>
      </c>
    </row>
    <row r="11" spans="1:6" x14ac:dyDescent="0.2">
      <c r="A11" s="2" t="s">
        <v>401</v>
      </c>
      <c r="B11" s="4">
        <v>2005</v>
      </c>
      <c r="C11" s="7">
        <v>854938</v>
      </c>
      <c r="D11" s="7">
        <v>1038255</v>
      </c>
      <c r="E11" s="7">
        <f t="shared" si="0"/>
        <v>183317</v>
      </c>
      <c r="F11" s="8">
        <f t="shared" si="1"/>
        <v>0.21442139663928847</v>
      </c>
    </row>
    <row r="12" spans="1:6" x14ac:dyDescent="0.2">
      <c r="A12" s="1" t="s">
        <v>229</v>
      </c>
      <c r="B12" s="3">
        <v>2006</v>
      </c>
      <c r="C12" s="5">
        <v>846043</v>
      </c>
      <c r="D12" s="5">
        <v>1129150</v>
      </c>
      <c r="E12" s="5">
        <f t="shared" si="0"/>
        <v>283107</v>
      </c>
      <c r="F12" s="6">
        <f t="shared" si="1"/>
        <v>0.33462483585349678</v>
      </c>
    </row>
    <row r="13" spans="1:6" x14ac:dyDescent="0.2">
      <c r="A13" s="2" t="s">
        <v>408</v>
      </c>
      <c r="B13" s="4">
        <v>2007</v>
      </c>
      <c r="C13" s="7">
        <v>473567</v>
      </c>
      <c r="D13" s="7">
        <v>643188</v>
      </c>
      <c r="E13" s="7">
        <f t="shared" si="0"/>
        <v>169621</v>
      </c>
      <c r="F13" s="8">
        <f t="shared" si="1"/>
        <v>0.35817740678721277</v>
      </c>
    </row>
    <row r="14" spans="1:6" x14ac:dyDescent="0.2">
      <c r="A14" s="1" t="s">
        <v>222</v>
      </c>
      <c r="B14" s="3">
        <v>2008</v>
      </c>
      <c r="C14" s="5">
        <v>521065</v>
      </c>
      <c r="D14" s="5">
        <v>863807</v>
      </c>
      <c r="E14" s="5">
        <f t="shared" si="0"/>
        <v>342742</v>
      </c>
      <c r="F14" s="6">
        <f t="shared" si="1"/>
        <v>0.65777206298638369</v>
      </c>
    </row>
    <row r="15" spans="1:6" x14ac:dyDescent="0.2">
      <c r="A15" s="2" t="s">
        <v>271</v>
      </c>
      <c r="B15" s="4">
        <v>2010</v>
      </c>
      <c r="C15" s="7">
        <v>578958</v>
      </c>
      <c r="D15" s="7">
        <v>889559</v>
      </c>
      <c r="E15" s="7">
        <f t="shared" si="0"/>
        <v>310601</v>
      </c>
      <c r="F15" s="8">
        <f t="shared" si="1"/>
        <v>0.53648278458886478</v>
      </c>
    </row>
    <row r="16" spans="1:6" x14ac:dyDescent="0.2">
      <c r="A16" s="1" t="s">
        <v>442</v>
      </c>
      <c r="B16" s="3">
        <v>2011</v>
      </c>
      <c r="C16" s="5">
        <v>928988</v>
      </c>
      <c r="D16" s="5">
        <v>1295267</v>
      </c>
      <c r="E16" s="5">
        <f t="shared" si="0"/>
        <v>366279</v>
      </c>
      <c r="F16" s="6">
        <f t="shared" si="1"/>
        <v>0.39427742877195399</v>
      </c>
    </row>
    <row r="17" spans="1:6" x14ac:dyDescent="0.2">
      <c r="A17" s="2" t="s">
        <v>319</v>
      </c>
      <c r="B17" s="4">
        <v>2012</v>
      </c>
      <c r="C17" s="7">
        <v>685805</v>
      </c>
      <c r="D17" s="7">
        <v>1020884</v>
      </c>
      <c r="E17" s="7">
        <f t="shared" si="0"/>
        <v>335079</v>
      </c>
      <c r="F17" s="8">
        <f t="shared" si="1"/>
        <v>0.48859223831847243</v>
      </c>
    </row>
    <row r="18" spans="1:6" x14ac:dyDescent="0.2">
      <c r="A18" s="1" t="s">
        <v>233</v>
      </c>
      <c r="B18" s="3">
        <v>2013</v>
      </c>
      <c r="C18" s="5">
        <v>997034</v>
      </c>
      <c r="D18" s="5">
        <v>1625491</v>
      </c>
      <c r="E18" s="5">
        <f t="shared" si="0"/>
        <v>628457</v>
      </c>
      <c r="F18" s="6">
        <f t="shared" si="1"/>
        <v>0.63032654854297843</v>
      </c>
    </row>
    <row r="19" spans="1:6" x14ac:dyDescent="0.2">
      <c r="A19" s="2" t="s">
        <v>19</v>
      </c>
      <c r="B19" s="4">
        <v>2014</v>
      </c>
      <c r="C19" s="7">
        <v>500577</v>
      </c>
      <c r="D19" s="7">
        <v>882002</v>
      </c>
      <c r="E19" s="7">
        <f t="shared" si="0"/>
        <v>381425</v>
      </c>
      <c r="F19" s="8">
        <f t="shared" si="1"/>
        <v>0.76197068582855387</v>
      </c>
    </row>
    <row r="20" spans="1:6" x14ac:dyDescent="0.2">
      <c r="A20" s="1" t="s">
        <v>174</v>
      </c>
      <c r="B20" s="3">
        <v>2015</v>
      </c>
      <c r="C20" s="5">
        <v>501543</v>
      </c>
      <c r="D20" s="5">
        <v>711191</v>
      </c>
      <c r="E20" s="5">
        <f t="shared" si="0"/>
        <v>209648</v>
      </c>
      <c r="F20" s="6">
        <f t="shared" si="1"/>
        <v>0.4180060333809863</v>
      </c>
    </row>
    <row r="21" spans="1:6" x14ac:dyDescent="0.2">
      <c r="A21" s="2" t="s">
        <v>200</v>
      </c>
      <c r="B21" s="4">
        <v>2016</v>
      </c>
      <c r="C21" s="7">
        <v>1660132</v>
      </c>
      <c r="D21" s="7">
        <v>2206230</v>
      </c>
      <c r="E21" s="7">
        <f t="shared" si="0"/>
        <v>546098</v>
      </c>
      <c r="F21" s="8">
        <f t="shared" si="1"/>
        <v>0.32894854144128299</v>
      </c>
    </row>
    <row r="22" spans="1:6" x14ac:dyDescent="0.2">
      <c r="A22" s="1" t="s">
        <v>130</v>
      </c>
      <c r="B22" s="3">
        <v>2017</v>
      </c>
      <c r="C22" s="5">
        <v>1127755</v>
      </c>
      <c r="D22" s="5">
        <v>1653453</v>
      </c>
      <c r="E22" s="5">
        <f t="shared" si="0"/>
        <v>525698</v>
      </c>
      <c r="F22" s="6">
        <f t="shared" si="1"/>
        <v>0.46614557239826027</v>
      </c>
    </row>
    <row r="23" spans="1:6" ht="16" thickBot="1" x14ac:dyDescent="0.25">
      <c r="A23" s="2" t="s">
        <v>439</v>
      </c>
      <c r="B23" s="4">
        <v>2018</v>
      </c>
      <c r="C23" s="7">
        <v>924416</v>
      </c>
      <c r="D23" s="7">
        <v>921845</v>
      </c>
      <c r="E23" s="7">
        <f t="shared" si="0"/>
        <v>-2571</v>
      </c>
      <c r="F23" s="8">
        <f t="shared" si="1"/>
        <v>-2.7812153835502632E-3</v>
      </c>
    </row>
    <row r="24" spans="1:6" ht="17" thickTop="1" thickBot="1" x14ac:dyDescent="0.25">
      <c r="A24" s="24" t="s">
        <v>577</v>
      </c>
      <c r="B24" s="25" t="s">
        <v>578</v>
      </c>
      <c r="C24" s="26">
        <f>AVERAGE(C2:C23)</f>
        <v>746837.18181818177</v>
      </c>
      <c r="D24" s="26">
        <f>AVERAGE(D2:D23)</f>
        <v>990128.90909090906</v>
      </c>
      <c r="E24" s="26">
        <f>AVERAGE(E2:E23)</f>
        <v>243291.72727272726</v>
      </c>
      <c r="F24" s="27">
        <f>AVERAGE(F2:F23)</f>
        <v>0.35834962989873786</v>
      </c>
    </row>
    <row r="25" spans="1:6" x14ac:dyDescent="0.2">
      <c r="A25" s="9" t="s">
        <v>559</v>
      </c>
      <c r="B25" s="9"/>
      <c r="C25" s="10">
        <f>AVERAGE(C3:C24)</f>
        <v>744768.78099173552</v>
      </c>
      <c r="D25" s="10">
        <f>AVERAGE(D3:D24)</f>
        <v>1000196.9504132232</v>
      </c>
      <c r="E25" s="11">
        <f>AVERAGE(E3:E24)</f>
        <v>255428.1694214876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"/>
  <sheetViews>
    <sheetView zoomScaleNormal="100" workbookViewId="0">
      <pane ySplit="1" topLeftCell="A2" activePane="bottomLeft" state="frozen"/>
      <selection pane="bottomLeft" activeCell="B1" sqref="A1:B1"/>
    </sheetView>
  </sheetViews>
  <sheetFormatPr baseColWidth="10" defaultColWidth="8.6640625" defaultRowHeight="15" x14ac:dyDescent="0.2"/>
  <cols>
    <col min="1" max="1" width="10" customWidth="1"/>
    <col min="2" max="2" width="20" customWidth="1"/>
  </cols>
  <sheetData>
    <row r="1" spans="1:2" x14ac:dyDescent="0.2">
      <c r="A1" s="21" t="s">
        <v>566</v>
      </c>
      <c r="B1" s="21" t="s">
        <v>574</v>
      </c>
    </row>
    <row r="2" spans="1:2" x14ac:dyDescent="0.2">
      <c r="A2" s="12">
        <v>1995</v>
      </c>
      <c r="B2" s="13">
        <v>445.03</v>
      </c>
    </row>
    <row r="3" spans="1:2" x14ac:dyDescent="0.2">
      <c r="A3" s="14">
        <v>1996</v>
      </c>
      <c r="B3" s="15">
        <v>463.8</v>
      </c>
    </row>
    <row r="4" spans="1:2" x14ac:dyDescent="0.2">
      <c r="A4" s="12">
        <v>1997</v>
      </c>
      <c r="B4" s="13">
        <v>506.25</v>
      </c>
    </row>
    <row r="5" spans="1:2" x14ac:dyDescent="0.2">
      <c r="A5" s="14">
        <v>1998</v>
      </c>
      <c r="B5" s="15">
        <v>576.73</v>
      </c>
    </row>
    <row r="6" spans="1:2" x14ac:dyDescent="0.2">
      <c r="A6" s="12">
        <v>1999</v>
      </c>
      <c r="B6" s="13">
        <v>588.42999999999995</v>
      </c>
    </row>
    <row r="7" spans="1:2" x14ac:dyDescent="0.2">
      <c r="A7" s="14">
        <v>2000</v>
      </c>
      <c r="B7" s="15">
        <v>678.55</v>
      </c>
    </row>
    <row r="8" spans="1:2" x14ac:dyDescent="0.2">
      <c r="A8" s="12">
        <v>2001</v>
      </c>
      <c r="B8" s="13">
        <v>644.01</v>
      </c>
    </row>
    <row r="9" spans="1:2" x14ac:dyDescent="0.2">
      <c r="A9" s="14">
        <v>2002</v>
      </c>
      <c r="B9" s="15">
        <v>675.4</v>
      </c>
    </row>
    <row r="10" spans="1:2" x14ac:dyDescent="0.2">
      <c r="A10" s="12">
        <v>2003</v>
      </c>
      <c r="B10" s="13">
        <v>722.15</v>
      </c>
    </row>
    <row r="11" spans="1:2" x14ac:dyDescent="0.2">
      <c r="A11" s="14">
        <v>2004</v>
      </c>
      <c r="B11" s="15">
        <v>748.98</v>
      </c>
    </row>
    <row r="12" spans="1:2" x14ac:dyDescent="0.2">
      <c r="A12" s="12">
        <v>2005</v>
      </c>
      <c r="B12" s="13">
        <v>825.38</v>
      </c>
    </row>
    <row r="13" spans="1:2" x14ac:dyDescent="0.2">
      <c r="A13" s="14">
        <v>2006</v>
      </c>
      <c r="B13" s="15">
        <v>935.25</v>
      </c>
    </row>
    <row r="14" spans="1:2" x14ac:dyDescent="0.2">
      <c r="A14" s="12">
        <v>2007</v>
      </c>
      <c r="B14" s="13">
        <v>909.12</v>
      </c>
    </row>
    <row r="15" spans="1:2" x14ac:dyDescent="0.2">
      <c r="A15" s="14">
        <v>2008</v>
      </c>
      <c r="B15" s="15">
        <v>940.72</v>
      </c>
    </row>
    <row r="16" spans="1:2" x14ac:dyDescent="0.2">
      <c r="A16" s="12">
        <v>2009</v>
      </c>
      <c r="B16" s="13">
        <v>969.38</v>
      </c>
    </row>
    <row r="17" spans="1:2" x14ac:dyDescent="0.2">
      <c r="A17" s="14">
        <v>2010</v>
      </c>
      <c r="B17" s="15">
        <v>1036.72</v>
      </c>
    </row>
    <row r="18" spans="1:2" x14ac:dyDescent="0.2">
      <c r="A18" s="12">
        <v>2011</v>
      </c>
      <c r="B18" s="13">
        <v>1080.8900000000001</v>
      </c>
    </row>
    <row r="19" spans="1:2" x14ac:dyDescent="0.2">
      <c r="A19" s="14">
        <v>2012</v>
      </c>
      <c r="B19" s="15">
        <v>1195.8599999999999</v>
      </c>
    </row>
    <row r="20" spans="1:2" x14ac:dyDescent="0.2">
      <c r="A20" s="12">
        <v>2013</v>
      </c>
      <c r="B20" s="13">
        <v>1193.19</v>
      </c>
    </row>
    <row r="21" spans="1:2" x14ac:dyDescent="0.2">
      <c r="A21" s="14">
        <v>2014</v>
      </c>
      <c r="B21" s="15">
        <v>1361.65</v>
      </c>
    </row>
    <row r="22" spans="1:2" x14ac:dyDescent="0.2">
      <c r="A22" s="12">
        <v>2015</v>
      </c>
      <c r="B22" s="13">
        <v>1317.52</v>
      </c>
    </row>
    <row r="23" spans="1:2" x14ac:dyDescent="0.2">
      <c r="A23" s="14">
        <v>2016</v>
      </c>
      <c r="B23" s="15">
        <v>1367.27</v>
      </c>
    </row>
    <row r="24" spans="1:2" x14ac:dyDescent="0.2">
      <c r="A24" s="12">
        <v>2017</v>
      </c>
      <c r="B24" s="13">
        <v>1637.35</v>
      </c>
    </row>
    <row r="25" spans="1:2" x14ac:dyDescent="0.2">
      <c r="A25" s="14">
        <v>2018</v>
      </c>
      <c r="B25" s="15">
        <v>1824.63</v>
      </c>
    </row>
    <row r="26" spans="1:2" x14ac:dyDescent="0.2">
      <c r="A26" s="12">
        <v>2019</v>
      </c>
      <c r="B26" s="13">
        <v>1757.68</v>
      </c>
    </row>
    <row r="27" spans="1:2" x14ac:dyDescent="0.2">
      <c r="A27" s="14">
        <v>2020</v>
      </c>
      <c r="B27" s="15">
        <v>271.74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6"/>
  <sheetViews>
    <sheetView zoomScaleNormal="100" workbookViewId="0">
      <pane ySplit="1" topLeftCell="A2" activePane="bottomLeft" state="frozen"/>
      <selection pane="bottomLeft" activeCell="F1" sqref="A1:F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22" customWidth="1"/>
    <col min="4" max="4" width="14" customWidth="1"/>
    <col min="5" max="5" width="16" customWidth="1"/>
    <col min="6" max="6" width="18" customWidth="1"/>
  </cols>
  <sheetData>
    <row r="1" spans="1:6" ht="17" customHeight="1" x14ac:dyDescent="0.2">
      <c r="A1" s="22" t="s">
        <v>560</v>
      </c>
      <c r="B1" s="22" t="s">
        <v>561</v>
      </c>
      <c r="C1" s="22" t="s">
        <v>562</v>
      </c>
      <c r="D1" s="22" t="s">
        <v>575</v>
      </c>
      <c r="E1" s="22" t="s">
        <v>576</v>
      </c>
      <c r="F1" s="22" t="s">
        <v>574</v>
      </c>
    </row>
    <row r="2" spans="1:6" x14ac:dyDescent="0.2">
      <c r="A2" s="1" t="s">
        <v>488</v>
      </c>
      <c r="B2" s="1" t="s">
        <v>1</v>
      </c>
      <c r="C2" s="1" t="s">
        <v>20</v>
      </c>
      <c r="D2" s="3">
        <v>1313</v>
      </c>
      <c r="E2" s="16">
        <v>86.5</v>
      </c>
      <c r="F2" s="13">
        <v>1027.3699999999999</v>
      </c>
    </row>
    <row r="3" spans="1:6" x14ac:dyDescent="0.2">
      <c r="A3" s="2" t="s">
        <v>107</v>
      </c>
      <c r="B3" s="2" t="s">
        <v>1</v>
      </c>
      <c r="C3" s="2" t="s">
        <v>2</v>
      </c>
      <c r="D3" s="4">
        <v>1218</v>
      </c>
      <c r="E3" s="17">
        <v>82.7</v>
      </c>
      <c r="F3" s="15">
        <v>679.88</v>
      </c>
    </row>
    <row r="4" spans="1:6" x14ac:dyDescent="0.2">
      <c r="A4" s="1" t="s">
        <v>477</v>
      </c>
      <c r="B4" s="1" t="s">
        <v>1</v>
      </c>
      <c r="C4" s="1" t="s">
        <v>7</v>
      </c>
      <c r="D4" s="3">
        <v>1166</v>
      </c>
      <c r="E4" s="16">
        <v>97.7</v>
      </c>
      <c r="F4" s="13">
        <v>1677.8</v>
      </c>
    </row>
    <row r="5" spans="1:6" x14ac:dyDescent="0.2">
      <c r="A5" s="2" t="s">
        <v>543</v>
      </c>
      <c r="B5" s="2" t="s">
        <v>1</v>
      </c>
      <c r="C5" s="2" t="s">
        <v>20</v>
      </c>
      <c r="D5" s="4">
        <v>855</v>
      </c>
      <c r="E5" s="17">
        <v>97.2</v>
      </c>
      <c r="F5" s="15">
        <v>1364.25</v>
      </c>
    </row>
    <row r="6" spans="1:6" x14ac:dyDescent="0.2">
      <c r="A6" s="1" t="s">
        <v>253</v>
      </c>
      <c r="B6" s="1" t="s">
        <v>1</v>
      </c>
      <c r="C6" s="1" t="s">
        <v>42</v>
      </c>
      <c r="D6" s="3">
        <v>727</v>
      </c>
      <c r="E6" s="16">
        <v>89.7</v>
      </c>
      <c r="F6" s="13">
        <v>624.39</v>
      </c>
    </row>
    <row r="7" spans="1:6" x14ac:dyDescent="0.2">
      <c r="A7" s="2" t="s">
        <v>83</v>
      </c>
      <c r="B7" s="2" t="s">
        <v>1</v>
      </c>
      <c r="C7" s="2" t="s">
        <v>7</v>
      </c>
      <c r="D7" s="4">
        <v>648</v>
      </c>
      <c r="E7" s="17">
        <v>85.3</v>
      </c>
      <c r="F7" s="15">
        <v>400.7</v>
      </c>
    </row>
    <row r="8" spans="1:6" x14ac:dyDescent="0.2">
      <c r="A8" s="1" t="s">
        <v>350</v>
      </c>
      <c r="B8" s="1" t="s">
        <v>1</v>
      </c>
      <c r="C8" s="1" t="s">
        <v>75</v>
      </c>
      <c r="D8" s="3">
        <v>647</v>
      </c>
      <c r="E8" s="16">
        <v>82.5</v>
      </c>
      <c r="F8" s="13">
        <v>274.25</v>
      </c>
    </row>
    <row r="9" spans="1:6" x14ac:dyDescent="0.2">
      <c r="A9" s="2" t="s">
        <v>249</v>
      </c>
      <c r="B9" s="2" t="s">
        <v>1</v>
      </c>
      <c r="C9" s="2" t="s">
        <v>2</v>
      </c>
      <c r="D9" s="4">
        <v>632</v>
      </c>
      <c r="E9" s="17">
        <v>85</v>
      </c>
      <c r="F9" s="15">
        <v>348.13</v>
      </c>
    </row>
    <row r="10" spans="1:6" x14ac:dyDescent="0.2">
      <c r="A10" s="1" t="s">
        <v>229</v>
      </c>
      <c r="B10" s="1" t="s">
        <v>1</v>
      </c>
      <c r="C10" s="1" t="s">
        <v>42</v>
      </c>
      <c r="D10" s="3">
        <v>588</v>
      </c>
      <c r="E10" s="16">
        <v>89.5</v>
      </c>
      <c r="F10" s="13">
        <v>557.51</v>
      </c>
    </row>
    <row r="11" spans="1:6" x14ac:dyDescent="0.2">
      <c r="A11" s="2" t="s">
        <v>442</v>
      </c>
      <c r="B11" s="2" t="s">
        <v>1</v>
      </c>
      <c r="C11" s="2" t="s">
        <v>75</v>
      </c>
      <c r="D11" s="4">
        <v>470</v>
      </c>
      <c r="E11" s="17">
        <v>102.3</v>
      </c>
      <c r="F11" s="15">
        <v>656.78</v>
      </c>
    </row>
    <row r="12" spans="1:6" x14ac:dyDescent="0.2">
      <c r="A12" s="1" t="s">
        <v>103</v>
      </c>
      <c r="B12" s="1" t="s">
        <v>1</v>
      </c>
      <c r="C12" s="1" t="s">
        <v>20</v>
      </c>
      <c r="D12" s="3">
        <v>375</v>
      </c>
      <c r="E12" s="16">
        <v>78.7</v>
      </c>
      <c r="F12" s="13">
        <v>191.89</v>
      </c>
    </row>
    <row r="13" spans="1:6" x14ac:dyDescent="0.2">
      <c r="A13" s="2" t="s">
        <v>279</v>
      </c>
      <c r="B13" s="2" t="s">
        <v>1</v>
      </c>
      <c r="C13" s="2" t="s">
        <v>2</v>
      </c>
      <c r="D13" s="4">
        <v>364</v>
      </c>
      <c r="E13" s="17">
        <v>79</v>
      </c>
      <c r="F13" s="15">
        <v>193.45</v>
      </c>
    </row>
    <row r="14" spans="1:6" x14ac:dyDescent="0.2">
      <c r="A14" s="1" t="s">
        <v>95</v>
      </c>
      <c r="B14" s="1" t="s">
        <v>1</v>
      </c>
      <c r="C14" s="1" t="s">
        <v>2</v>
      </c>
      <c r="D14" s="3">
        <v>358</v>
      </c>
      <c r="E14" s="16">
        <v>91.3</v>
      </c>
      <c r="F14" s="13">
        <v>160.54</v>
      </c>
    </row>
    <row r="15" spans="1:6" x14ac:dyDescent="0.2">
      <c r="A15" s="2" t="s">
        <v>197</v>
      </c>
      <c r="B15" s="2" t="s">
        <v>1</v>
      </c>
      <c r="C15" s="2" t="s">
        <v>7</v>
      </c>
      <c r="D15" s="4">
        <v>338</v>
      </c>
      <c r="E15" s="17">
        <v>89.1</v>
      </c>
      <c r="F15" s="15">
        <v>252.18</v>
      </c>
    </row>
    <row r="16" spans="1:6" x14ac:dyDescent="0.2">
      <c r="A16" s="1" t="s">
        <v>257</v>
      </c>
      <c r="B16" s="1" t="s">
        <v>1</v>
      </c>
      <c r="C16" s="1" t="s">
        <v>20</v>
      </c>
      <c r="D16" s="3">
        <v>334</v>
      </c>
      <c r="E16" s="16">
        <v>81.599999999999994</v>
      </c>
      <c r="F16" s="13">
        <v>294.56</v>
      </c>
    </row>
    <row r="17" spans="1:6" x14ac:dyDescent="0.2">
      <c r="A17" s="2" t="s">
        <v>74</v>
      </c>
      <c r="B17" s="2" t="s">
        <v>1</v>
      </c>
      <c r="C17" s="2" t="s">
        <v>75</v>
      </c>
      <c r="D17" s="4">
        <v>323</v>
      </c>
      <c r="E17" s="17">
        <v>84.4</v>
      </c>
      <c r="F17" s="15">
        <v>121.92</v>
      </c>
    </row>
    <row r="18" spans="1:6" x14ac:dyDescent="0.2">
      <c r="A18" s="1" t="s">
        <v>494</v>
      </c>
      <c r="B18" s="1" t="s">
        <v>1</v>
      </c>
      <c r="C18" s="1" t="s">
        <v>7</v>
      </c>
      <c r="D18" s="3">
        <v>318</v>
      </c>
      <c r="E18" s="16">
        <v>84.9</v>
      </c>
      <c r="F18" s="13">
        <v>288.36</v>
      </c>
    </row>
    <row r="19" spans="1:6" x14ac:dyDescent="0.2">
      <c r="A19" s="2" t="s">
        <v>233</v>
      </c>
      <c r="B19" s="2" t="s">
        <v>1</v>
      </c>
      <c r="C19" s="2" t="s">
        <v>7</v>
      </c>
      <c r="D19" s="4">
        <v>318</v>
      </c>
      <c r="E19" s="17">
        <v>82.5</v>
      </c>
      <c r="F19" s="15">
        <v>317.91000000000003</v>
      </c>
    </row>
    <row r="20" spans="1:6" x14ac:dyDescent="0.2">
      <c r="A20" s="1" t="s">
        <v>37</v>
      </c>
      <c r="B20" s="1" t="s">
        <v>1</v>
      </c>
      <c r="C20" s="1" t="s">
        <v>7</v>
      </c>
      <c r="D20" s="3">
        <v>313</v>
      </c>
      <c r="E20" s="16">
        <v>97.9</v>
      </c>
      <c r="F20" s="13">
        <v>458.81</v>
      </c>
    </row>
    <row r="21" spans="1:6" x14ac:dyDescent="0.2">
      <c r="A21" s="2" t="s">
        <v>79</v>
      </c>
      <c r="B21" s="2" t="s">
        <v>1</v>
      </c>
      <c r="C21" s="2" t="s">
        <v>42</v>
      </c>
      <c r="D21" s="4">
        <v>309</v>
      </c>
      <c r="E21" s="17">
        <v>90.1</v>
      </c>
      <c r="F21" s="15">
        <v>269.64999999999998</v>
      </c>
    </row>
    <row r="22" spans="1:6" x14ac:dyDescent="0.2">
      <c r="A22" s="1" t="s">
        <v>362</v>
      </c>
      <c r="B22" s="1" t="s">
        <v>1</v>
      </c>
      <c r="C22" s="1" t="s">
        <v>42</v>
      </c>
      <c r="D22" s="3">
        <v>295</v>
      </c>
      <c r="E22" s="16">
        <v>88.5</v>
      </c>
      <c r="F22" s="13">
        <v>128.99</v>
      </c>
    </row>
    <row r="23" spans="1:6" x14ac:dyDescent="0.2">
      <c r="A23" s="2" t="s">
        <v>390</v>
      </c>
      <c r="B23" s="2" t="s">
        <v>1</v>
      </c>
      <c r="C23" s="2" t="s">
        <v>42</v>
      </c>
      <c r="D23" s="4">
        <v>256</v>
      </c>
      <c r="E23" s="17">
        <v>76.400000000000006</v>
      </c>
      <c r="F23" s="15">
        <v>87.9</v>
      </c>
    </row>
    <row r="24" spans="1:6" x14ac:dyDescent="0.2">
      <c r="A24" s="1" t="s">
        <v>200</v>
      </c>
      <c r="B24" s="1" t="s">
        <v>1</v>
      </c>
      <c r="C24" s="1" t="s">
        <v>20</v>
      </c>
      <c r="D24" s="3">
        <v>241</v>
      </c>
      <c r="E24" s="16">
        <v>101.7</v>
      </c>
      <c r="F24" s="13">
        <v>645.34</v>
      </c>
    </row>
    <row r="25" spans="1:6" x14ac:dyDescent="0.2">
      <c r="A25" s="2" t="s">
        <v>33</v>
      </c>
      <c r="B25" s="2" t="s">
        <v>1</v>
      </c>
      <c r="C25" s="2" t="s">
        <v>20</v>
      </c>
      <c r="D25" s="4">
        <v>237</v>
      </c>
      <c r="E25" s="17">
        <v>84.9</v>
      </c>
      <c r="F25" s="15">
        <v>165.93</v>
      </c>
    </row>
    <row r="26" spans="1:6" x14ac:dyDescent="0.2">
      <c r="A26" s="1" t="s">
        <v>185</v>
      </c>
      <c r="B26" s="1" t="s">
        <v>1</v>
      </c>
      <c r="C26" s="1" t="s">
        <v>2</v>
      </c>
      <c r="D26" s="3">
        <v>231</v>
      </c>
      <c r="E26" s="16">
        <v>85.4</v>
      </c>
      <c r="F26" s="13">
        <v>104.38</v>
      </c>
    </row>
    <row r="27" spans="1:6" x14ac:dyDescent="0.2">
      <c r="A27" s="2" t="s">
        <v>225</v>
      </c>
      <c r="B27" s="2" t="s">
        <v>1</v>
      </c>
      <c r="C27" s="2" t="s">
        <v>7</v>
      </c>
      <c r="D27" s="4">
        <v>205</v>
      </c>
      <c r="E27" s="17">
        <v>82.2</v>
      </c>
      <c r="F27" s="15">
        <v>80.53</v>
      </c>
    </row>
    <row r="28" spans="1:6" x14ac:dyDescent="0.2">
      <c r="A28" s="1" t="s">
        <v>401</v>
      </c>
      <c r="B28" s="1" t="s">
        <v>1</v>
      </c>
      <c r="C28" s="1" t="s">
        <v>7</v>
      </c>
      <c r="D28" s="3">
        <v>204</v>
      </c>
      <c r="E28" s="16">
        <v>88.6</v>
      </c>
      <c r="F28" s="13">
        <v>168.07</v>
      </c>
    </row>
    <row r="29" spans="1:6" x14ac:dyDescent="0.2">
      <c r="A29" s="2" t="s">
        <v>264</v>
      </c>
      <c r="B29" s="2" t="s">
        <v>1</v>
      </c>
      <c r="C29" s="2" t="s">
        <v>20</v>
      </c>
      <c r="D29" s="4">
        <v>199</v>
      </c>
      <c r="E29" s="17">
        <v>91.6</v>
      </c>
      <c r="F29" s="15">
        <v>196.99</v>
      </c>
    </row>
    <row r="30" spans="1:6" x14ac:dyDescent="0.2">
      <c r="A30" s="1" t="s">
        <v>532</v>
      </c>
      <c r="B30" s="1" t="s">
        <v>1</v>
      </c>
      <c r="C30" s="1" t="s">
        <v>7</v>
      </c>
      <c r="D30" s="3">
        <v>198</v>
      </c>
      <c r="E30" s="16">
        <v>89.4</v>
      </c>
      <c r="F30" s="13">
        <v>168.43</v>
      </c>
    </row>
    <row r="31" spans="1:6" x14ac:dyDescent="0.2">
      <c r="A31" s="2" t="s">
        <v>0</v>
      </c>
      <c r="B31" s="2" t="s">
        <v>1</v>
      </c>
      <c r="C31" s="2" t="s">
        <v>2</v>
      </c>
      <c r="D31" s="4">
        <v>196</v>
      </c>
      <c r="E31" s="17">
        <v>78.7</v>
      </c>
      <c r="F31" s="15">
        <v>133.02000000000001</v>
      </c>
    </row>
    <row r="32" spans="1:6" x14ac:dyDescent="0.2">
      <c r="A32" s="1" t="s">
        <v>445</v>
      </c>
      <c r="B32" s="1" t="s">
        <v>1</v>
      </c>
      <c r="C32" s="1" t="s">
        <v>20</v>
      </c>
      <c r="D32" s="3">
        <v>181</v>
      </c>
      <c r="E32" s="16">
        <v>85</v>
      </c>
      <c r="F32" s="13">
        <v>147.71</v>
      </c>
    </row>
    <row r="33" spans="1:6" x14ac:dyDescent="0.2">
      <c r="A33" s="2" t="s">
        <v>130</v>
      </c>
      <c r="B33" s="2" t="s">
        <v>1</v>
      </c>
      <c r="C33" s="2" t="s">
        <v>75</v>
      </c>
      <c r="D33" s="4">
        <v>172</v>
      </c>
      <c r="E33" s="17">
        <v>101.1</v>
      </c>
      <c r="F33" s="15">
        <v>240.1</v>
      </c>
    </row>
    <row r="34" spans="1:6" x14ac:dyDescent="0.2">
      <c r="A34" s="1" t="s">
        <v>87</v>
      </c>
      <c r="B34" s="1" t="s">
        <v>1</v>
      </c>
      <c r="C34" s="1" t="s">
        <v>7</v>
      </c>
      <c r="D34" s="3">
        <v>171</v>
      </c>
      <c r="E34" s="16">
        <v>93</v>
      </c>
      <c r="F34" s="13">
        <v>183.51</v>
      </c>
    </row>
    <row r="35" spans="1:6" x14ac:dyDescent="0.2">
      <c r="A35" s="2" t="s">
        <v>465</v>
      </c>
      <c r="B35" s="2" t="s">
        <v>1</v>
      </c>
      <c r="C35" s="2" t="s">
        <v>2</v>
      </c>
      <c r="D35" s="4">
        <v>168</v>
      </c>
      <c r="E35" s="17">
        <v>86.2</v>
      </c>
      <c r="F35" s="15">
        <v>103.25</v>
      </c>
    </row>
    <row r="36" spans="1:6" x14ac:dyDescent="0.2">
      <c r="A36" s="1" t="s">
        <v>287</v>
      </c>
      <c r="B36" s="1" t="s">
        <v>1</v>
      </c>
      <c r="C36" s="1" t="s">
        <v>42</v>
      </c>
      <c r="D36" s="3">
        <v>167</v>
      </c>
      <c r="E36" s="16">
        <v>81.599999999999994</v>
      </c>
      <c r="F36" s="13">
        <v>99.92</v>
      </c>
    </row>
    <row r="37" spans="1:6" x14ac:dyDescent="0.2">
      <c r="A37" s="2" t="s">
        <v>370</v>
      </c>
      <c r="B37" s="2" t="s">
        <v>1</v>
      </c>
      <c r="C37" s="2" t="s">
        <v>7</v>
      </c>
      <c r="D37" s="4">
        <v>166</v>
      </c>
      <c r="E37" s="17">
        <v>82.4</v>
      </c>
      <c r="F37" s="15">
        <v>158.63999999999999</v>
      </c>
    </row>
    <row r="38" spans="1:6" x14ac:dyDescent="0.2">
      <c r="A38" s="1" t="s">
        <v>150</v>
      </c>
      <c r="B38" s="1" t="s">
        <v>1</v>
      </c>
      <c r="C38" s="1" t="s">
        <v>2</v>
      </c>
      <c r="D38" s="3">
        <v>161</v>
      </c>
      <c r="E38" s="16">
        <v>70.3</v>
      </c>
      <c r="F38" s="13">
        <v>106.02</v>
      </c>
    </row>
    <row r="39" spans="1:6" x14ac:dyDescent="0.2">
      <c r="A39" s="2" t="s">
        <v>404</v>
      </c>
      <c r="B39" s="2" t="s">
        <v>1</v>
      </c>
      <c r="C39" s="2" t="s">
        <v>7</v>
      </c>
      <c r="D39" s="4">
        <v>160</v>
      </c>
      <c r="E39" s="17">
        <v>87.6</v>
      </c>
      <c r="F39" s="15">
        <v>212.41</v>
      </c>
    </row>
    <row r="40" spans="1:6" x14ac:dyDescent="0.2">
      <c r="A40" s="1" t="s">
        <v>114</v>
      </c>
      <c r="B40" s="1" t="s">
        <v>1</v>
      </c>
      <c r="C40" s="1" t="s">
        <v>75</v>
      </c>
      <c r="D40" s="3">
        <v>159</v>
      </c>
      <c r="E40" s="16">
        <v>101.7</v>
      </c>
      <c r="F40" s="13">
        <v>174.14</v>
      </c>
    </row>
    <row r="41" spans="1:6" x14ac:dyDescent="0.2">
      <c r="A41" s="2" t="s">
        <v>222</v>
      </c>
      <c r="B41" s="2" t="s">
        <v>1</v>
      </c>
      <c r="C41" s="2" t="s">
        <v>75</v>
      </c>
      <c r="D41" s="4">
        <v>152</v>
      </c>
      <c r="E41" s="17">
        <v>80.599999999999994</v>
      </c>
      <c r="F41" s="15">
        <v>105.3</v>
      </c>
    </row>
    <row r="42" spans="1:6" x14ac:dyDescent="0.2">
      <c r="A42" s="1" t="s">
        <v>271</v>
      </c>
      <c r="B42" s="1" t="s">
        <v>1</v>
      </c>
      <c r="C42" s="1" t="s">
        <v>75</v>
      </c>
      <c r="D42" s="3">
        <v>150</v>
      </c>
      <c r="E42" s="16">
        <v>78.3</v>
      </c>
      <c r="F42" s="13">
        <v>104.04</v>
      </c>
    </row>
    <row r="43" spans="1:6" x14ac:dyDescent="0.2">
      <c r="A43" s="2" t="s">
        <v>319</v>
      </c>
      <c r="B43" s="2" t="s">
        <v>1</v>
      </c>
      <c r="C43" s="2" t="s">
        <v>7</v>
      </c>
      <c r="D43" s="4">
        <v>149</v>
      </c>
      <c r="E43" s="17">
        <v>85.8</v>
      </c>
      <c r="F43" s="15">
        <v>110.31</v>
      </c>
    </row>
    <row r="44" spans="1:6" x14ac:dyDescent="0.2">
      <c r="A44" s="1" t="s">
        <v>428</v>
      </c>
      <c r="B44" s="1" t="s">
        <v>1</v>
      </c>
      <c r="C44" s="1" t="s">
        <v>75</v>
      </c>
      <c r="D44" s="3">
        <v>145</v>
      </c>
      <c r="E44" s="16">
        <v>84.9</v>
      </c>
      <c r="F44" s="13">
        <v>45.63</v>
      </c>
    </row>
    <row r="45" spans="1:6" x14ac:dyDescent="0.2">
      <c r="A45" s="2" t="s">
        <v>91</v>
      </c>
      <c r="B45" s="2" t="s">
        <v>1</v>
      </c>
      <c r="C45" s="2" t="s">
        <v>75</v>
      </c>
      <c r="D45" s="4">
        <v>144</v>
      </c>
      <c r="E45" s="17">
        <v>91.4</v>
      </c>
      <c r="F45" s="15">
        <v>54.45</v>
      </c>
    </row>
    <row r="46" spans="1:6" x14ac:dyDescent="0.2">
      <c r="A46" s="1" t="s">
        <v>166</v>
      </c>
      <c r="B46" s="1" t="s">
        <v>1</v>
      </c>
      <c r="C46" s="1" t="s">
        <v>75</v>
      </c>
      <c r="D46" s="3">
        <v>140</v>
      </c>
      <c r="E46" s="16">
        <v>88.3</v>
      </c>
      <c r="F46" s="13">
        <v>69</v>
      </c>
    </row>
    <row r="47" spans="1:6" x14ac:dyDescent="0.2">
      <c r="A47" s="2" t="s">
        <v>416</v>
      </c>
      <c r="B47" s="2" t="s">
        <v>1</v>
      </c>
      <c r="C47" s="2" t="s">
        <v>7</v>
      </c>
      <c r="D47" s="4">
        <v>138</v>
      </c>
      <c r="E47" s="17">
        <v>86.2</v>
      </c>
      <c r="F47" s="15">
        <v>100.91</v>
      </c>
    </row>
    <row r="48" spans="1:6" x14ac:dyDescent="0.2">
      <c r="A48" s="1" t="s">
        <v>214</v>
      </c>
      <c r="B48" s="1" t="s">
        <v>1</v>
      </c>
      <c r="C48" s="1" t="s">
        <v>2</v>
      </c>
      <c r="D48" s="3">
        <v>136</v>
      </c>
      <c r="E48" s="16">
        <v>84.9</v>
      </c>
      <c r="F48" s="13">
        <v>89.21</v>
      </c>
    </row>
    <row r="49" spans="1:6" x14ac:dyDescent="0.2">
      <c r="A49" s="2" t="s">
        <v>58</v>
      </c>
      <c r="B49" s="2" t="s">
        <v>1</v>
      </c>
      <c r="C49" s="2" t="s">
        <v>2</v>
      </c>
      <c r="D49" s="4">
        <v>135</v>
      </c>
      <c r="E49" s="17">
        <v>82.2</v>
      </c>
      <c r="F49" s="15">
        <v>82.15</v>
      </c>
    </row>
    <row r="50" spans="1:6" x14ac:dyDescent="0.2">
      <c r="A50" s="1" t="s">
        <v>237</v>
      </c>
      <c r="B50" s="1" t="s">
        <v>1</v>
      </c>
      <c r="C50" s="1" t="s">
        <v>2</v>
      </c>
      <c r="D50" s="3">
        <v>134</v>
      </c>
      <c r="E50" s="16">
        <v>83.7</v>
      </c>
      <c r="F50" s="13">
        <v>79.319999999999993</v>
      </c>
    </row>
    <row r="51" spans="1:6" x14ac:dyDescent="0.2">
      <c r="A51" s="2" t="s">
        <v>408</v>
      </c>
      <c r="B51" s="2" t="s">
        <v>1</v>
      </c>
      <c r="C51" s="2" t="s">
        <v>20</v>
      </c>
      <c r="D51" s="4">
        <v>133</v>
      </c>
      <c r="E51" s="17">
        <v>77.2</v>
      </c>
      <c r="F51" s="15">
        <v>66.16</v>
      </c>
    </row>
    <row r="52" spans="1:6" x14ac:dyDescent="0.2">
      <c r="A52" s="1" t="s">
        <v>118</v>
      </c>
      <c r="B52" s="1" t="s">
        <v>1</v>
      </c>
      <c r="C52" s="1" t="s">
        <v>75</v>
      </c>
      <c r="D52" s="3">
        <v>131</v>
      </c>
      <c r="E52" s="16">
        <v>83.9</v>
      </c>
      <c r="F52" s="13">
        <v>60.22</v>
      </c>
    </row>
    <row r="53" spans="1:6" x14ac:dyDescent="0.2">
      <c r="A53" s="2" t="s">
        <v>397</v>
      </c>
      <c r="B53" s="2" t="s">
        <v>1</v>
      </c>
      <c r="C53" s="2" t="s">
        <v>2</v>
      </c>
      <c r="D53" s="4">
        <v>130</v>
      </c>
      <c r="E53" s="17">
        <v>89.8</v>
      </c>
      <c r="F53" s="15">
        <v>96.49</v>
      </c>
    </row>
    <row r="54" spans="1:6" x14ac:dyDescent="0.2">
      <c r="A54" s="1" t="s">
        <v>295</v>
      </c>
      <c r="B54" s="1" t="s">
        <v>1</v>
      </c>
      <c r="C54" s="1" t="s">
        <v>7</v>
      </c>
      <c r="D54" s="3">
        <v>128</v>
      </c>
      <c r="E54" s="16">
        <v>95.3</v>
      </c>
      <c r="F54" s="13">
        <v>109</v>
      </c>
    </row>
    <row r="55" spans="1:6" x14ac:dyDescent="0.2">
      <c r="A55" s="2" t="s">
        <v>524</v>
      </c>
      <c r="B55" s="2" t="s">
        <v>1</v>
      </c>
      <c r="C55" s="2" t="s">
        <v>75</v>
      </c>
      <c r="D55" s="4">
        <v>125</v>
      </c>
      <c r="E55" s="17">
        <v>83.7</v>
      </c>
      <c r="F55" s="15">
        <v>34.82</v>
      </c>
    </row>
    <row r="56" spans="1:6" x14ac:dyDescent="0.2">
      <c r="A56" s="1" t="s">
        <v>170</v>
      </c>
      <c r="B56" s="1" t="s">
        <v>1</v>
      </c>
      <c r="C56" s="1" t="s">
        <v>7</v>
      </c>
      <c r="D56" s="3">
        <v>123</v>
      </c>
      <c r="E56" s="16">
        <v>90.9</v>
      </c>
      <c r="F56" s="13">
        <v>156.65</v>
      </c>
    </row>
    <row r="57" spans="1:6" x14ac:dyDescent="0.2">
      <c r="A57" s="2" t="s">
        <v>346</v>
      </c>
      <c r="B57" s="2" t="s">
        <v>1</v>
      </c>
      <c r="C57" s="2" t="s">
        <v>20</v>
      </c>
      <c r="D57" s="4">
        <v>120</v>
      </c>
      <c r="E57" s="17">
        <v>89.8</v>
      </c>
      <c r="F57" s="15">
        <v>85.98</v>
      </c>
    </row>
    <row r="58" spans="1:6" x14ac:dyDescent="0.2">
      <c r="A58" s="1" t="s">
        <v>513</v>
      </c>
      <c r="B58" s="1" t="s">
        <v>1</v>
      </c>
      <c r="C58" s="1" t="s">
        <v>7</v>
      </c>
      <c r="D58" s="3">
        <v>118</v>
      </c>
      <c r="E58" s="16">
        <v>80.8</v>
      </c>
      <c r="F58" s="13">
        <v>75.62</v>
      </c>
    </row>
    <row r="59" spans="1:6" x14ac:dyDescent="0.2">
      <c r="A59" s="2" t="s">
        <v>342</v>
      </c>
      <c r="B59" s="2" t="s">
        <v>29</v>
      </c>
      <c r="C59" s="2" t="s">
        <v>71</v>
      </c>
      <c r="D59" s="4">
        <v>117</v>
      </c>
      <c r="E59" s="17">
        <v>73.599999999999994</v>
      </c>
      <c r="F59" s="15">
        <v>32.9</v>
      </c>
    </row>
    <row r="60" spans="1:6" x14ac:dyDescent="0.2">
      <c r="A60" s="1" t="s">
        <v>358</v>
      </c>
      <c r="B60" s="1" t="s">
        <v>29</v>
      </c>
      <c r="C60" s="1" t="s">
        <v>71</v>
      </c>
      <c r="D60" s="3">
        <v>116</v>
      </c>
      <c r="E60" s="16">
        <v>73.8</v>
      </c>
      <c r="F60" s="13">
        <v>11.72</v>
      </c>
    </row>
    <row r="61" spans="1:6" x14ac:dyDescent="0.2">
      <c r="A61" s="2" t="s">
        <v>19</v>
      </c>
      <c r="B61" s="2" t="s">
        <v>1</v>
      </c>
      <c r="C61" s="2" t="s">
        <v>20</v>
      </c>
      <c r="D61" s="4">
        <v>116</v>
      </c>
      <c r="E61" s="17">
        <v>88.5</v>
      </c>
      <c r="F61" s="15">
        <v>73.209999999999994</v>
      </c>
    </row>
    <row r="62" spans="1:6" x14ac:dyDescent="0.2">
      <c r="A62" s="1" t="s">
        <v>540</v>
      </c>
      <c r="B62" s="1" t="s">
        <v>1</v>
      </c>
      <c r="C62" s="1" t="s">
        <v>2</v>
      </c>
      <c r="D62" s="3">
        <v>109</v>
      </c>
      <c r="E62" s="16">
        <v>83.8</v>
      </c>
      <c r="F62" s="13">
        <v>111.31</v>
      </c>
    </row>
    <row r="63" spans="1:6" x14ac:dyDescent="0.2">
      <c r="A63" s="2" t="s">
        <v>189</v>
      </c>
      <c r="B63" s="2" t="s">
        <v>1</v>
      </c>
      <c r="C63" s="2" t="s">
        <v>2</v>
      </c>
      <c r="D63" s="4">
        <v>106</v>
      </c>
      <c r="E63" s="17">
        <v>75.7</v>
      </c>
      <c r="F63" s="15">
        <v>69.19</v>
      </c>
    </row>
    <row r="64" spans="1:6" x14ac:dyDescent="0.2">
      <c r="A64" s="1" t="s">
        <v>374</v>
      </c>
      <c r="B64" s="1" t="s">
        <v>1</v>
      </c>
      <c r="C64" s="1" t="s">
        <v>2</v>
      </c>
      <c r="D64" s="3">
        <v>106</v>
      </c>
      <c r="E64" s="16">
        <v>84.6</v>
      </c>
      <c r="F64" s="13">
        <v>77.02</v>
      </c>
    </row>
    <row r="65" spans="1:6" x14ac:dyDescent="0.2">
      <c r="A65" s="2" t="s">
        <v>50</v>
      </c>
      <c r="B65" s="2" t="s">
        <v>1</v>
      </c>
      <c r="C65" s="2" t="s">
        <v>7</v>
      </c>
      <c r="D65" s="4">
        <v>106</v>
      </c>
      <c r="E65" s="17">
        <v>91.7</v>
      </c>
      <c r="F65" s="15">
        <v>93.44</v>
      </c>
    </row>
    <row r="66" spans="1:6" x14ac:dyDescent="0.2">
      <c r="A66" s="1" t="s">
        <v>517</v>
      </c>
      <c r="B66" s="1" t="s">
        <v>1</v>
      </c>
      <c r="C66" s="1" t="s">
        <v>7</v>
      </c>
      <c r="D66" s="3">
        <v>105</v>
      </c>
      <c r="E66" s="16">
        <v>87.1</v>
      </c>
      <c r="F66" s="13">
        <v>57.15</v>
      </c>
    </row>
    <row r="67" spans="1:6" x14ac:dyDescent="0.2">
      <c r="A67" s="2" t="s">
        <v>502</v>
      </c>
      <c r="B67" s="2" t="s">
        <v>1</v>
      </c>
      <c r="C67" s="2" t="s">
        <v>20</v>
      </c>
      <c r="D67" s="4">
        <v>103</v>
      </c>
      <c r="E67" s="17">
        <v>68.5</v>
      </c>
      <c r="F67" s="15">
        <v>40.69</v>
      </c>
    </row>
    <row r="68" spans="1:6" x14ac:dyDescent="0.2">
      <c r="A68" s="1" t="s">
        <v>268</v>
      </c>
      <c r="B68" s="1" t="s">
        <v>1</v>
      </c>
      <c r="C68" s="1" t="s">
        <v>7</v>
      </c>
      <c r="D68" s="3">
        <v>103</v>
      </c>
      <c r="E68" s="16">
        <v>96.5</v>
      </c>
      <c r="F68" s="13">
        <v>123.42</v>
      </c>
    </row>
    <row r="69" spans="1:6" x14ac:dyDescent="0.2">
      <c r="A69" s="2" t="s">
        <v>449</v>
      </c>
      <c r="B69" s="2" t="s">
        <v>29</v>
      </c>
      <c r="C69" s="2" t="s">
        <v>20</v>
      </c>
      <c r="D69" s="4">
        <v>103</v>
      </c>
      <c r="E69" s="17">
        <v>85.2</v>
      </c>
      <c r="F69" s="15">
        <v>67.53</v>
      </c>
    </row>
    <row r="70" spans="1:6" x14ac:dyDescent="0.2">
      <c r="A70" s="1" t="s">
        <v>203</v>
      </c>
      <c r="B70" s="1" t="s">
        <v>29</v>
      </c>
      <c r="C70" s="1" t="s">
        <v>71</v>
      </c>
      <c r="D70" s="3">
        <v>102</v>
      </c>
      <c r="E70" s="16">
        <v>100</v>
      </c>
      <c r="F70" s="13">
        <v>173.06</v>
      </c>
    </row>
    <row r="71" spans="1:6" x14ac:dyDescent="0.2">
      <c r="A71" s="2" t="s">
        <v>110</v>
      </c>
      <c r="B71" s="2" t="s">
        <v>1</v>
      </c>
      <c r="C71" s="2" t="s">
        <v>7</v>
      </c>
      <c r="D71" s="4">
        <v>102</v>
      </c>
      <c r="E71" s="17">
        <v>74.400000000000006</v>
      </c>
      <c r="F71" s="15">
        <v>88.17</v>
      </c>
    </row>
    <row r="72" spans="1:6" x14ac:dyDescent="0.2">
      <c r="A72" s="1" t="s">
        <v>509</v>
      </c>
      <c r="B72" s="1" t="s">
        <v>29</v>
      </c>
      <c r="C72" s="1" t="s">
        <v>71</v>
      </c>
      <c r="D72" s="3">
        <v>101</v>
      </c>
      <c r="E72" s="16">
        <v>73</v>
      </c>
      <c r="F72" s="13">
        <v>29.31</v>
      </c>
    </row>
    <row r="73" spans="1:6" x14ac:dyDescent="0.2">
      <c r="A73" s="2" t="s">
        <v>455</v>
      </c>
      <c r="B73" s="2" t="s">
        <v>1</v>
      </c>
      <c r="C73" s="2" t="s">
        <v>7</v>
      </c>
      <c r="D73" s="4">
        <v>101</v>
      </c>
      <c r="E73" s="17">
        <v>87.1</v>
      </c>
      <c r="F73" s="15">
        <v>47.86</v>
      </c>
    </row>
    <row r="74" spans="1:6" x14ac:dyDescent="0.2">
      <c r="A74" s="1" t="s">
        <v>432</v>
      </c>
      <c r="B74" s="1" t="s">
        <v>29</v>
      </c>
      <c r="C74" s="1" t="s">
        <v>7</v>
      </c>
      <c r="D74" s="3">
        <v>100</v>
      </c>
      <c r="E74" s="16">
        <v>72</v>
      </c>
      <c r="F74" s="13">
        <v>22.1</v>
      </c>
    </row>
    <row r="75" spans="1:6" x14ac:dyDescent="0.2">
      <c r="A75" s="2" t="s">
        <v>11</v>
      </c>
      <c r="B75" s="2" t="s">
        <v>1</v>
      </c>
      <c r="C75" s="2" t="s">
        <v>2</v>
      </c>
      <c r="D75" s="4">
        <v>100</v>
      </c>
      <c r="E75" s="17">
        <v>80.2</v>
      </c>
      <c r="F75" s="15">
        <v>54.54</v>
      </c>
    </row>
    <row r="76" spans="1:6" x14ac:dyDescent="0.2">
      <c r="A76" s="1" t="s">
        <v>283</v>
      </c>
      <c r="B76" s="1" t="s">
        <v>1</v>
      </c>
      <c r="C76" s="1" t="s">
        <v>42</v>
      </c>
      <c r="D76" s="3">
        <v>100</v>
      </c>
      <c r="E76" s="16">
        <v>90.6</v>
      </c>
      <c r="F76" s="13">
        <v>116.5</v>
      </c>
    </row>
    <row r="77" spans="1:6" x14ac:dyDescent="0.2">
      <c r="A77" s="2" t="s">
        <v>260</v>
      </c>
      <c r="B77" s="2" t="s">
        <v>1</v>
      </c>
      <c r="C77" s="2" t="s">
        <v>2</v>
      </c>
      <c r="D77" s="4">
        <v>99</v>
      </c>
      <c r="E77" s="17">
        <v>87.7</v>
      </c>
      <c r="F77" s="15">
        <v>18.329999999999998</v>
      </c>
    </row>
    <row r="78" spans="1:6" x14ac:dyDescent="0.2">
      <c r="A78" s="1" t="s">
        <v>54</v>
      </c>
      <c r="B78" s="1" t="s">
        <v>1</v>
      </c>
      <c r="C78" s="1" t="s">
        <v>20</v>
      </c>
      <c r="D78" s="3">
        <v>98</v>
      </c>
      <c r="E78" s="16">
        <v>76.099999999999994</v>
      </c>
      <c r="F78" s="13">
        <v>71.89</v>
      </c>
    </row>
    <row r="79" spans="1:6" x14ac:dyDescent="0.2">
      <c r="A79" s="2" t="s">
        <v>311</v>
      </c>
      <c r="B79" s="2" t="s">
        <v>1</v>
      </c>
      <c r="C79" s="2" t="s">
        <v>42</v>
      </c>
      <c r="D79" s="4">
        <v>97</v>
      </c>
      <c r="E79" s="17">
        <v>69.2</v>
      </c>
      <c r="F79" s="15">
        <v>82.33</v>
      </c>
    </row>
    <row r="80" spans="1:6" x14ac:dyDescent="0.2">
      <c r="A80" s="1" t="s">
        <v>492</v>
      </c>
      <c r="B80" s="1" t="s">
        <v>29</v>
      </c>
      <c r="C80" s="1" t="s">
        <v>71</v>
      </c>
      <c r="D80" s="3">
        <v>96</v>
      </c>
      <c r="E80" s="16">
        <v>76.5</v>
      </c>
      <c r="F80" s="13">
        <v>34.340000000000003</v>
      </c>
    </row>
    <row r="81" spans="1:6" x14ac:dyDescent="0.2">
      <c r="A81" s="2" t="s">
        <v>480</v>
      </c>
      <c r="B81" s="2" t="s">
        <v>1</v>
      </c>
      <c r="C81" s="2" t="s">
        <v>7</v>
      </c>
      <c r="D81" s="4">
        <v>96</v>
      </c>
      <c r="E81" s="17">
        <v>86.8</v>
      </c>
      <c r="F81" s="15">
        <v>82.89</v>
      </c>
    </row>
    <row r="82" spans="1:6" x14ac:dyDescent="0.2">
      <c r="A82" s="1" t="s">
        <v>536</v>
      </c>
      <c r="B82" s="1" t="s">
        <v>29</v>
      </c>
      <c r="C82" s="1" t="s">
        <v>20</v>
      </c>
      <c r="D82" s="3">
        <v>95</v>
      </c>
      <c r="E82" s="16">
        <v>90.5</v>
      </c>
      <c r="F82" s="13">
        <v>74.98</v>
      </c>
    </row>
    <row r="83" spans="1:6" x14ac:dyDescent="0.2">
      <c r="A83" s="2" t="s">
        <v>299</v>
      </c>
      <c r="B83" s="2" t="s">
        <v>1</v>
      </c>
      <c r="C83" s="2" t="s">
        <v>75</v>
      </c>
      <c r="D83" s="4">
        <v>95</v>
      </c>
      <c r="E83" s="17">
        <v>81.400000000000006</v>
      </c>
      <c r="F83" s="15">
        <v>31.76</v>
      </c>
    </row>
    <row r="84" spans="1:6" x14ac:dyDescent="0.2">
      <c r="A84" s="1" t="s">
        <v>435</v>
      </c>
      <c r="B84" s="1" t="s">
        <v>1</v>
      </c>
      <c r="C84" s="1" t="s">
        <v>20</v>
      </c>
      <c r="D84" s="3">
        <v>95</v>
      </c>
      <c r="E84" s="16">
        <v>80.099999999999994</v>
      </c>
      <c r="F84" s="13">
        <v>86.68</v>
      </c>
    </row>
    <row r="85" spans="1:6" x14ac:dyDescent="0.2">
      <c r="A85" s="2" t="s">
        <v>528</v>
      </c>
      <c r="B85" s="2" t="s">
        <v>1</v>
      </c>
      <c r="C85" s="2" t="s">
        <v>7</v>
      </c>
      <c r="D85" s="4">
        <v>95</v>
      </c>
      <c r="E85" s="17">
        <v>81.900000000000006</v>
      </c>
      <c r="F85" s="15">
        <v>58.75</v>
      </c>
    </row>
    <row r="86" spans="1:6" x14ac:dyDescent="0.2">
      <c r="A86" s="1" t="s">
        <v>15</v>
      </c>
      <c r="B86" s="1" t="s">
        <v>1</v>
      </c>
      <c r="C86" s="1" t="s">
        <v>2</v>
      </c>
      <c r="D86" s="3">
        <v>94</v>
      </c>
      <c r="E86" s="16">
        <v>76.2</v>
      </c>
      <c r="F86" s="13">
        <v>48.86</v>
      </c>
    </row>
    <row r="87" spans="1:6" x14ac:dyDescent="0.2">
      <c r="A87" s="2" t="s">
        <v>327</v>
      </c>
      <c r="B87" s="2" t="s">
        <v>1</v>
      </c>
      <c r="C87" s="2" t="s">
        <v>2</v>
      </c>
      <c r="D87" s="4">
        <v>94</v>
      </c>
      <c r="E87" s="17">
        <v>89.4</v>
      </c>
      <c r="F87" s="15">
        <v>68.84</v>
      </c>
    </row>
    <row r="88" spans="1:6" x14ac:dyDescent="0.2">
      <c r="A88" s="1" t="s">
        <v>394</v>
      </c>
      <c r="B88" s="1" t="s">
        <v>1</v>
      </c>
      <c r="C88" s="1" t="s">
        <v>75</v>
      </c>
      <c r="D88" s="3">
        <v>92</v>
      </c>
      <c r="E88" s="16">
        <v>76.2</v>
      </c>
      <c r="F88" s="13">
        <v>72.489999999999995</v>
      </c>
    </row>
    <row r="89" spans="1:6" x14ac:dyDescent="0.2">
      <c r="A89" s="2" t="s">
        <v>210</v>
      </c>
      <c r="B89" s="2" t="s">
        <v>1</v>
      </c>
      <c r="C89" s="2" t="s">
        <v>2</v>
      </c>
      <c r="D89" s="4">
        <v>92</v>
      </c>
      <c r="E89" s="17">
        <v>93.5</v>
      </c>
      <c r="F89" s="15">
        <v>134.66</v>
      </c>
    </row>
    <row r="90" spans="1:6" x14ac:dyDescent="0.2">
      <c r="A90" s="1" t="s">
        <v>6</v>
      </c>
      <c r="B90" s="1" t="s">
        <v>1</v>
      </c>
      <c r="C90" s="1" t="s">
        <v>7</v>
      </c>
      <c r="D90" s="3">
        <v>92</v>
      </c>
      <c r="E90" s="16">
        <v>89.9</v>
      </c>
      <c r="F90" s="13">
        <v>68.72</v>
      </c>
    </row>
    <row r="91" spans="1:6" x14ac:dyDescent="0.2">
      <c r="A91" s="2" t="s">
        <v>451</v>
      </c>
      <c r="B91" s="2" t="s">
        <v>1</v>
      </c>
      <c r="C91" s="2" t="s">
        <v>75</v>
      </c>
      <c r="D91" s="4">
        <v>91</v>
      </c>
      <c r="E91" s="17">
        <v>74.3</v>
      </c>
      <c r="F91" s="15">
        <v>63.57</v>
      </c>
    </row>
    <row r="92" spans="1:6" x14ac:dyDescent="0.2">
      <c r="A92" s="1" t="s">
        <v>158</v>
      </c>
      <c r="B92" s="1" t="s">
        <v>1</v>
      </c>
      <c r="C92" s="1" t="s">
        <v>7</v>
      </c>
      <c r="D92" s="3">
        <v>91</v>
      </c>
      <c r="E92" s="16">
        <v>79.599999999999994</v>
      </c>
      <c r="F92" s="13">
        <v>37.130000000000003</v>
      </c>
    </row>
    <row r="93" spans="1:6" x14ac:dyDescent="0.2">
      <c r="A93" s="2" t="s">
        <v>484</v>
      </c>
      <c r="B93" s="2" t="s">
        <v>1</v>
      </c>
      <c r="C93" s="2" t="s">
        <v>2</v>
      </c>
      <c r="D93" s="4">
        <v>91</v>
      </c>
      <c r="E93" s="17">
        <v>77.5</v>
      </c>
      <c r="F93" s="15">
        <v>45.98</v>
      </c>
    </row>
    <row r="94" spans="1:6" x14ac:dyDescent="0.2">
      <c r="A94" s="1" t="s">
        <v>241</v>
      </c>
      <c r="B94" s="1" t="s">
        <v>1</v>
      </c>
      <c r="C94" s="1" t="s">
        <v>2</v>
      </c>
      <c r="D94" s="3">
        <v>89</v>
      </c>
      <c r="E94" s="16">
        <v>71.3</v>
      </c>
      <c r="F94" s="13">
        <v>45.44</v>
      </c>
    </row>
    <row r="95" spans="1:6" x14ac:dyDescent="0.2">
      <c r="A95" s="2" t="s">
        <v>70</v>
      </c>
      <c r="B95" s="2" t="s">
        <v>29</v>
      </c>
      <c r="C95" s="2" t="s">
        <v>71</v>
      </c>
      <c r="D95" s="4">
        <v>86</v>
      </c>
      <c r="E95" s="17">
        <v>61.8</v>
      </c>
      <c r="F95" s="15">
        <v>32.840000000000003</v>
      </c>
    </row>
    <row r="96" spans="1:6" x14ac:dyDescent="0.2">
      <c r="A96" s="1" t="s">
        <v>138</v>
      </c>
      <c r="B96" s="1" t="s">
        <v>1</v>
      </c>
      <c r="C96" s="1" t="s">
        <v>7</v>
      </c>
      <c r="D96" s="3">
        <v>83</v>
      </c>
      <c r="E96" s="16">
        <v>84.9</v>
      </c>
      <c r="F96" s="13">
        <v>58.03</v>
      </c>
    </row>
    <row r="97" spans="1:6" x14ac:dyDescent="0.2">
      <c r="A97" s="2" t="s">
        <v>162</v>
      </c>
      <c r="B97" s="2" t="s">
        <v>1</v>
      </c>
      <c r="C97" s="2" t="s">
        <v>75</v>
      </c>
      <c r="D97" s="4">
        <v>83</v>
      </c>
      <c r="E97" s="17">
        <v>62.5</v>
      </c>
      <c r="F97" s="15">
        <v>19.39</v>
      </c>
    </row>
    <row r="98" spans="1:6" x14ac:dyDescent="0.2">
      <c r="A98" s="1" t="s">
        <v>46</v>
      </c>
      <c r="B98" s="1" t="s">
        <v>1</v>
      </c>
      <c r="C98" s="1" t="s">
        <v>7</v>
      </c>
      <c r="D98" s="3">
        <v>82</v>
      </c>
      <c r="E98" s="16">
        <v>80.8</v>
      </c>
      <c r="F98" s="13">
        <v>84.26</v>
      </c>
    </row>
    <row r="99" spans="1:6" x14ac:dyDescent="0.2">
      <c r="A99" s="2" t="s">
        <v>245</v>
      </c>
      <c r="B99" s="2" t="s">
        <v>1</v>
      </c>
      <c r="C99" s="2" t="s">
        <v>7</v>
      </c>
      <c r="D99" s="4">
        <v>81</v>
      </c>
      <c r="E99" s="17">
        <v>75.2</v>
      </c>
      <c r="F99" s="15">
        <v>56.34</v>
      </c>
    </row>
    <row r="100" spans="1:6" x14ac:dyDescent="0.2">
      <c r="A100" s="1" t="s">
        <v>439</v>
      </c>
      <c r="B100" s="1" t="s">
        <v>1</v>
      </c>
      <c r="C100" s="1" t="s">
        <v>7</v>
      </c>
      <c r="D100" s="3">
        <v>79</v>
      </c>
      <c r="E100" s="16">
        <v>94.5</v>
      </c>
      <c r="F100" s="13">
        <v>67.91</v>
      </c>
    </row>
    <row r="101" spans="1:6" x14ac:dyDescent="0.2">
      <c r="A101" s="2" t="s">
        <v>193</v>
      </c>
      <c r="B101" s="2" t="s">
        <v>1</v>
      </c>
      <c r="C101" s="2" t="s">
        <v>2</v>
      </c>
      <c r="D101" s="4">
        <v>79</v>
      </c>
      <c r="E101" s="17">
        <v>75.7</v>
      </c>
      <c r="F101" s="15">
        <v>54.02</v>
      </c>
    </row>
    <row r="102" spans="1:6" x14ac:dyDescent="0.2">
      <c r="A102" s="1" t="s">
        <v>354</v>
      </c>
      <c r="B102" s="1" t="s">
        <v>1</v>
      </c>
      <c r="C102" s="1" t="s">
        <v>75</v>
      </c>
      <c r="D102" s="3">
        <v>78</v>
      </c>
      <c r="E102" s="16">
        <v>75</v>
      </c>
      <c r="F102" s="13">
        <v>45.55</v>
      </c>
    </row>
    <row r="103" spans="1:6" x14ac:dyDescent="0.2">
      <c r="A103" s="2" t="s">
        <v>66</v>
      </c>
      <c r="B103" s="2" t="s">
        <v>29</v>
      </c>
      <c r="C103" s="2" t="s">
        <v>2</v>
      </c>
      <c r="D103" s="4">
        <v>78</v>
      </c>
      <c r="E103" s="17">
        <v>79.599999999999994</v>
      </c>
      <c r="F103" s="15">
        <v>24.29</v>
      </c>
    </row>
    <row r="104" spans="1:6" x14ac:dyDescent="0.2">
      <c r="A104" s="1" t="s">
        <v>206</v>
      </c>
      <c r="B104" s="1" t="s">
        <v>1</v>
      </c>
      <c r="C104" s="1" t="s">
        <v>75</v>
      </c>
      <c r="D104" s="3">
        <v>77</v>
      </c>
      <c r="E104" s="16">
        <v>86.5</v>
      </c>
      <c r="F104" s="13">
        <v>50.26</v>
      </c>
    </row>
    <row r="105" spans="1:6" x14ac:dyDescent="0.2">
      <c r="A105" s="2" t="s">
        <v>174</v>
      </c>
      <c r="B105" s="2" t="s">
        <v>1</v>
      </c>
      <c r="C105" s="2" t="s">
        <v>7</v>
      </c>
      <c r="D105" s="4">
        <v>76</v>
      </c>
      <c r="E105" s="17">
        <v>92.8</v>
      </c>
      <c r="F105" s="15">
        <v>40.840000000000003</v>
      </c>
    </row>
    <row r="106" spans="1:6" x14ac:dyDescent="0.2">
      <c r="A106" s="1" t="s">
        <v>386</v>
      </c>
      <c r="B106" s="1" t="s">
        <v>1</v>
      </c>
      <c r="C106" s="1" t="s">
        <v>7</v>
      </c>
      <c r="D106" s="3">
        <v>75</v>
      </c>
      <c r="E106" s="16">
        <v>72.900000000000006</v>
      </c>
      <c r="F106" s="13">
        <v>52.51</v>
      </c>
    </row>
    <row r="107" spans="1:6" x14ac:dyDescent="0.2">
      <c r="A107" s="2" t="s">
        <v>154</v>
      </c>
      <c r="B107" s="2" t="s">
        <v>1</v>
      </c>
      <c r="C107" s="2" t="s">
        <v>7</v>
      </c>
      <c r="D107" s="4">
        <v>75</v>
      </c>
      <c r="E107" s="17">
        <v>80.7</v>
      </c>
      <c r="F107" s="15">
        <v>63.19</v>
      </c>
    </row>
    <row r="108" spans="1:6" x14ac:dyDescent="0.2">
      <c r="A108" s="1" t="s">
        <v>469</v>
      </c>
      <c r="B108" s="1" t="s">
        <v>29</v>
      </c>
      <c r="C108" s="1" t="s">
        <v>71</v>
      </c>
      <c r="D108" s="3">
        <v>73</v>
      </c>
      <c r="E108" s="16">
        <v>70.2</v>
      </c>
      <c r="F108" s="13">
        <v>11.55</v>
      </c>
    </row>
    <row r="109" spans="1:6" x14ac:dyDescent="0.2">
      <c r="A109" s="2" t="s">
        <v>505</v>
      </c>
      <c r="B109" s="2" t="s">
        <v>1</v>
      </c>
      <c r="C109" s="2" t="s">
        <v>2</v>
      </c>
      <c r="D109" s="4">
        <v>72</v>
      </c>
      <c r="E109" s="17">
        <v>78.3</v>
      </c>
      <c r="F109" s="15">
        <v>34.479999999999997</v>
      </c>
    </row>
    <row r="110" spans="1:6" x14ac:dyDescent="0.2">
      <c r="A110" s="1" t="s">
        <v>549</v>
      </c>
      <c r="B110" s="1" t="s">
        <v>1</v>
      </c>
      <c r="C110" s="1" t="s">
        <v>42</v>
      </c>
      <c r="D110" s="3">
        <v>71</v>
      </c>
      <c r="E110" s="16">
        <v>72.2</v>
      </c>
      <c r="F110" s="13">
        <v>17.13</v>
      </c>
    </row>
    <row r="111" spans="1:6" x14ac:dyDescent="0.2">
      <c r="A111" s="2" t="s">
        <v>62</v>
      </c>
      <c r="B111" s="2" t="s">
        <v>1</v>
      </c>
      <c r="C111" s="2" t="s">
        <v>2</v>
      </c>
      <c r="D111" s="4">
        <v>70</v>
      </c>
      <c r="E111" s="17">
        <v>90.8</v>
      </c>
      <c r="F111" s="15">
        <v>47.29</v>
      </c>
    </row>
    <row r="112" spans="1:6" x14ac:dyDescent="0.2">
      <c r="A112" s="1" t="s">
        <v>126</v>
      </c>
      <c r="B112" s="1" t="s">
        <v>1</v>
      </c>
      <c r="C112" s="1" t="s">
        <v>20</v>
      </c>
      <c r="D112" s="3">
        <v>70</v>
      </c>
      <c r="E112" s="16">
        <v>74</v>
      </c>
      <c r="F112" s="13">
        <v>43.63</v>
      </c>
    </row>
    <row r="113" spans="1:6" x14ac:dyDescent="0.2">
      <c r="A113" s="2" t="s">
        <v>521</v>
      </c>
      <c r="B113" s="2" t="s">
        <v>29</v>
      </c>
      <c r="C113" s="2" t="s">
        <v>20</v>
      </c>
      <c r="D113" s="4">
        <v>70</v>
      </c>
      <c r="E113" s="17">
        <v>101.1</v>
      </c>
      <c r="F113" s="15">
        <v>118.97</v>
      </c>
    </row>
    <row r="114" spans="1:6" x14ac:dyDescent="0.2">
      <c r="A114" s="1" t="s">
        <v>291</v>
      </c>
      <c r="B114" s="1" t="s">
        <v>1</v>
      </c>
      <c r="C114" s="1" t="s">
        <v>2</v>
      </c>
      <c r="D114" s="3">
        <v>69</v>
      </c>
      <c r="E114" s="16">
        <v>91.5</v>
      </c>
      <c r="F114" s="13">
        <v>69.78</v>
      </c>
    </row>
    <row r="115" spans="1:6" x14ac:dyDescent="0.2">
      <c r="A115" s="2" t="s">
        <v>142</v>
      </c>
      <c r="B115" s="2" t="s">
        <v>29</v>
      </c>
      <c r="C115" s="2" t="s">
        <v>71</v>
      </c>
      <c r="D115" s="4">
        <v>69</v>
      </c>
      <c r="E115" s="17">
        <v>79.900000000000006</v>
      </c>
      <c r="F115" s="15">
        <v>27.66</v>
      </c>
    </row>
    <row r="116" spans="1:6" x14ac:dyDescent="0.2">
      <c r="A116" s="1" t="s">
        <v>338</v>
      </c>
      <c r="B116" s="1" t="s">
        <v>1</v>
      </c>
      <c r="C116" s="1" t="s">
        <v>42</v>
      </c>
      <c r="D116" s="3">
        <v>69</v>
      </c>
      <c r="E116" s="16">
        <v>66.400000000000006</v>
      </c>
      <c r="F116" s="13">
        <v>48.76</v>
      </c>
    </row>
    <row r="117" spans="1:6" x14ac:dyDescent="0.2">
      <c r="A117" s="2" t="s">
        <v>424</v>
      </c>
      <c r="B117" s="2" t="s">
        <v>1</v>
      </c>
      <c r="C117" s="2" t="s">
        <v>7</v>
      </c>
      <c r="D117" s="4">
        <v>68</v>
      </c>
      <c r="E117" s="17">
        <v>85.2</v>
      </c>
      <c r="F117" s="15">
        <v>42.72</v>
      </c>
    </row>
    <row r="118" spans="1:6" x14ac:dyDescent="0.2">
      <c r="A118" s="1" t="s">
        <v>475</v>
      </c>
      <c r="B118" s="1" t="s">
        <v>1</v>
      </c>
      <c r="C118" s="1" t="s">
        <v>20</v>
      </c>
      <c r="D118" s="3">
        <v>68</v>
      </c>
      <c r="E118" s="16">
        <v>74.8</v>
      </c>
      <c r="F118" s="13">
        <v>28.78</v>
      </c>
    </row>
    <row r="119" spans="1:6" x14ac:dyDescent="0.2">
      <c r="A119" s="2" t="s">
        <v>382</v>
      </c>
      <c r="B119" s="2" t="s">
        <v>29</v>
      </c>
      <c r="C119" s="2" t="s">
        <v>71</v>
      </c>
      <c r="D119" s="4">
        <v>68</v>
      </c>
      <c r="E119" s="17">
        <v>70.400000000000006</v>
      </c>
      <c r="F119" s="15">
        <v>9.81</v>
      </c>
    </row>
    <row r="120" spans="1:6" x14ac:dyDescent="0.2">
      <c r="A120" s="1" t="s">
        <v>146</v>
      </c>
      <c r="B120" s="1" t="s">
        <v>1</v>
      </c>
      <c r="C120" s="1" t="s">
        <v>42</v>
      </c>
      <c r="D120" s="3">
        <v>67</v>
      </c>
      <c r="E120" s="16">
        <v>82.6</v>
      </c>
      <c r="F120" s="13">
        <v>33.450000000000003</v>
      </c>
    </row>
    <row r="121" spans="1:6" x14ac:dyDescent="0.2">
      <c r="A121" s="2" t="s">
        <v>461</v>
      </c>
      <c r="B121" s="2" t="s">
        <v>29</v>
      </c>
      <c r="C121" s="2" t="s">
        <v>2</v>
      </c>
      <c r="D121" s="4">
        <v>66</v>
      </c>
      <c r="E121" s="17">
        <v>77.8</v>
      </c>
      <c r="F121" s="15">
        <v>19.27</v>
      </c>
    </row>
    <row r="122" spans="1:6" x14ac:dyDescent="0.2">
      <c r="A122" s="1" t="s">
        <v>28</v>
      </c>
      <c r="B122" s="1" t="s">
        <v>29</v>
      </c>
      <c r="C122" s="1" t="s">
        <v>2</v>
      </c>
      <c r="D122" s="3">
        <v>66</v>
      </c>
      <c r="E122" s="16">
        <v>81.5</v>
      </c>
      <c r="F122" s="13">
        <v>25.36</v>
      </c>
    </row>
    <row r="123" spans="1:6" x14ac:dyDescent="0.2">
      <c r="A123" s="2" t="s">
        <v>366</v>
      </c>
      <c r="B123" s="2" t="s">
        <v>1</v>
      </c>
      <c r="C123" s="2" t="s">
        <v>42</v>
      </c>
      <c r="D123" s="4">
        <v>66</v>
      </c>
      <c r="E123" s="17">
        <v>76.400000000000006</v>
      </c>
      <c r="F123" s="15">
        <v>37.590000000000003</v>
      </c>
    </row>
    <row r="124" spans="1:6" x14ac:dyDescent="0.2">
      <c r="A124" s="1" t="s">
        <v>275</v>
      </c>
      <c r="B124" s="1" t="s">
        <v>1</v>
      </c>
      <c r="C124" s="1" t="s">
        <v>42</v>
      </c>
      <c r="D124" s="3">
        <v>66</v>
      </c>
      <c r="E124" s="16">
        <v>60.6</v>
      </c>
      <c r="F124" s="13">
        <v>29</v>
      </c>
    </row>
    <row r="125" spans="1:6" x14ac:dyDescent="0.2">
      <c r="A125" s="2" t="s">
        <v>182</v>
      </c>
      <c r="B125" s="2" t="s">
        <v>29</v>
      </c>
      <c r="C125" s="2" t="s">
        <v>71</v>
      </c>
      <c r="D125" s="4">
        <v>65</v>
      </c>
      <c r="E125" s="17">
        <v>60.4</v>
      </c>
      <c r="F125" s="15">
        <v>9.31</v>
      </c>
    </row>
    <row r="126" spans="1:6" x14ac:dyDescent="0.2">
      <c r="A126" s="1" t="s">
        <v>545</v>
      </c>
      <c r="B126" s="1" t="s">
        <v>1</v>
      </c>
      <c r="C126" s="1" t="s">
        <v>2</v>
      </c>
      <c r="D126" s="3">
        <v>65</v>
      </c>
      <c r="E126" s="16">
        <v>60.8</v>
      </c>
      <c r="F126" s="13">
        <v>29.83</v>
      </c>
    </row>
    <row r="127" spans="1:6" x14ac:dyDescent="0.2">
      <c r="A127" s="2" t="s">
        <v>553</v>
      </c>
      <c r="B127" s="2" t="s">
        <v>1</v>
      </c>
      <c r="C127" s="2" t="s">
        <v>7</v>
      </c>
      <c r="D127" s="4">
        <v>65</v>
      </c>
      <c r="E127" s="17">
        <v>0</v>
      </c>
      <c r="F127" s="15">
        <v>0</v>
      </c>
    </row>
    <row r="128" spans="1:6" x14ac:dyDescent="0.2">
      <c r="A128" s="1" t="s">
        <v>315</v>
      </c>
      <c r="B128" s="1" t="s">
        <v>1</v>
      </c>
      <c r="C128" s="1" t="s">
        <v>2</v>
      </c>
      <c r="D128" s="3">
        <v>64</v>
      </c>
      <c r="E128" s="16">
        <v>65.400000000000006</v>
      </c>
      <c r="F128" s="13">
        <v>36.08</v>
      </c>
    </row>
    <row r="129" spans="1:6" x14ac:dyDescent="0.2">
      <c r="A129" s="2" t="s">
        <v>303</v>
      </c>
      <c r="B129" s="2" t="s">
        <v>1</v>
      </c>
      <c r="C129" s="2" t="s">
        <v>75</v>
      </c>
      <c r="D129" s="4">
        <v>64</v>
      </c>
      <c r="E129" s="17">
        <v>74.900000000000006</v>
      </c>
      <c r="F129" s="15">
        <v>51.46</v>
      </c>
    </row>
    <row r="130" spans="1:6" x14ac:dyDescent="0.2">
      <c r="A130" s="1" t="s">
        <v>420</v>
      </c>
      <c r="B130" s="1" t="s">
        <v>1</v>
      </c>
      <c r="C130" s="1" t="s">
        <v>42</v>
      </c>
      <c r="D130" s="3">
        <v>63</v>
      </c>
      <c r="E130" s="16">
        <v>61.4</v>
      </c>
      <c r="F130" s="13">
        <v>24.62</v>
      </c>
    </row>
    <row r="131" spans="1:6" x14ac:dyDescent="0.2">
      <c r="A131" s="2" t="s">
        <v>178</v>
      </c>
      <c r="B131" s="2" t="s">
        <v>29</v>
      </c>
      <c r="C131" s="2" t="s">
        <v>71</v>
      </c>
      <c r="D131" s="4">
        <v>61</v>
      </c>
      <c r="E131" s="17">
        <v>80.900000000000006</v>
      </c>
      <c r="F131" s="15">
        <v>37.35</v>
      </c>
    </row>
    <row r="132" spans="1:6" x14ac:dyDescent="0.2">
      <c r="A132" s="1" t="s">
        <v>378</v>
      </c>
      <c r="B132" s="1" t="s">
        <v>1</v>
      </c>
      <c r="C132" s="1" t="s">
        <v>7</v>
      </c>
      <c r="D132" s="3">
        <v>61</v>
      </c>
      <c r="E132" s="16">
        <v>73.400000000000006</v>
      </c>
      <c r="F132" s="13">
        <v>46.36</v>
      </c>
    </row>
    <row r="133" spans="1:6" x14ac:dyDescent="0.2">
      <c r="A133" s="2" t="s">
        <v>472</v>
      </c>
      <c r="B133" s="2" t="s">
        <v>1</v>
      </c>
      <c r="C133" s="2" t="s">
        <v>75</v>
      </c>
      <c r="D133" s="4">
        <v>61</v>
      </c>
      <c r="E133" s="17">
        <v>73.3</v>
      </c>
      <c r="F133" s="15">
        <v>18.96</v>
      </c>
    </row>
    <row r="134" spans="1:6" x14ac:dyDescent="0.2">
      <c r="A134" s="1" t="s">
        <v>323</v>
      </c>
      <c r="B134" s="1" t="s">
        <v>1</v>
      </c>
      <c r="C134" s="1" t="s">
        <v>2</v>
      </c>
      <c r="D134" s="3">
        <v>61</v>
      </c>
      <c r="E134" s="16">
        <v>92</v>
      </c>
      <c r="F134" s="13">
        <v>30.78</v>
      </c>
    </row>
    <row r="135" spans="1:6" x14ac:dyDescent="0.2">
      <c r="A135" s="2" t="s">
        <v>457</v>
      </c>
      <c r="B135" s="2" t="s">
        <v>29</v>
      </c>
      <c r="C135" s="2" t="s">
        <v>2</v>
      </c>
      <c r="D135" s="4">
        <v>60</v>
      </c>
      <c r="E135" s="17">
        <v>73.2</v>
      </c>
      <c r="F135" s="15">
        <v>24.3</v>
      </c>
    </row>
    <row r="136" spans="1:6" x14ac:dyDescent="0.2">
      <c r="A136" s="1" t="s">
        <v>498</v>
      </c>
      <c r="B136" s="1" t="s">
        <v>1</v>
      </c>
      <c r="C136" s="1" t="s">
        <v>2</v>
      </c>
      <c r="D136" s="3">
        <v>59</v>
      </c>
      <c r="E136" s="16">
        <v>83.2</v>
      </c>
      <c r="F136" s="13">
        <v>13.43</v>
      </c>
    </row>
    <row r="137" spans="1:6" x14ac:dyDescent="0.2">
      <c r="A137" s="2" t="s">
        <v>307</v>
      </c>
      <c r="B137" s="2" t="s">
        <v>29</v>
      </c>
      <c r="C137" s="2" t="s">
        <v>2</v>
      </c>
      <c r="D137" s="4">
        <v>58</v>
      </c>
      <c r="E137" s="17">
        <v>80.7</v>
      </c>
      <c r="F137" s="15">
        <v>19.73</v>
      </c>
    </row>
    <row r="138" spans="1:6" x14ac:dyDescent="0.2">
      <c r="A138" s="1" t="s">
        <v>334</v>
      </c>
      <c r="B138" s="1" t="s">
        <v>1</v>
      </c>
      <c r="C138" s="1" t="s">
        <v>7</v>
      </c>
      <c r="D138" s="3">
        <v>57</v>
      </c>
      <c r="E138" s="16">
        <v>86.3</v>
      </c>
      <c r="F138" s="13">
        <v>51.13</v>
      </c>
    </row>
    <row r="139" spans="1:6" x14ac:dyDescent="0.2">
      <c r="A139" s="2" t="s">
        <v>41</v>
      </c>
      <c r="B139" s="2" t="s">
        <v>1</v>
      </c>
      <c r="C139" s="2" t="s">
        <v>42</v>
      </c>
      <c r="D139" s="4">
        <v>57</v>
      </c>
      <c r="E139" s="17">
        <v>66.8</v>
      </c>
      <c r="F139" s="15">
        <v>39.799999999999997</v>
      </c>
    </row>
    <row r="140" spans="1:6" x14ac:dyDescent="0.2">
      <c r="A140" s="1" t="s">
        <v>99</v>
      </c>
      <c r="B140" s="1" t="s">
        <v>29</v>
      </c>
      <c r="C140" s="1" t="s">
        <v>2</v>
      </c>
      <c r="D140" s="3">
        <v>56</v>
      </c>
      <c r="E140" s="16">
        <v>78.7</v>
      </c>
      <c r="F140" s="13">
        <v>33.159999999999997</v>
      </c>
    </row>
    <row r="141" spans="1:6" x14ac:dyDescent="0.2">
      <c r="A141" s="2" t="s">
        <v>134</v>
      </c>
      <c r="B141" s="2" t="s">
        <v>29</v>
      </c>
      <c r="C141" s="2" t="s">
        <v>2</v>
      </c>
      <c r="D141" s="4">
        <v>56</v>
      </c>
      <c r="E141" s="17">
        <v>94.3</v>
      </c>
      <c r="F141" s="15">
        <v>28.06</v>
      </c>
    </row>
    <row r="142" spans="1:6" x14ac:dyDescent="0.2">
      <c r="A142" s="1" t="s">
        <v>24</v>
      </c>
      <c r="B142" s="1" t="s">
        <v>1</v>
      </c>
      <c r="C142" s="1" t="s">
        <v>2</v>
      </c>
      <c r="D142" s="3">
        <v>56</v>
      </c>
      <c r="E142" s="16">
        <v>89</v>
      </c>
      <c r="F142" s="13">
        <v>38.61</v>
      </c>
    </row>
    <row r="143" spans="1:6" x14ac:dyDescent="0.2">
      <c r="A143" s="2" t="s">
        <v>330</v>
      </c>
      <c r="B143" s="2" t="s">
        <v>29</v>
      </c>
      <c r="C143" s="2" t="s">
        <v>2</v>
      </c>
      <c r="D143" s="4">
        <v>55</v>
      </c>
      <c r="E143" s="17">
        <v>75.900000000000006</v>
      </c>
      <c r="F143" s="15">
        <v>19.82</v>
      </c>
    </row>
    <row r="144" spans="1:6" x14ac:dyDescent="0.2">
      <c r="A144" s="1" t="s">
        <v>218</v>
      </c>
      <c r="B144" s="1" t="s">
        <v>1</v>
      </c>
      <c r="C144" s="1" t="s">
        <v>75</v>
      </c>
      <c r="D144" s="3">
        <v>54</v>
      </c>
      <c r="E144" s="16">
        <v>80.8</v>
      </c>
      <c r="F144" s="13">
        <v>39.64</v>
      </c>
    </row>
    <row r="145" spans="1:6" x14ac:dyDescent="0.2">
      <c r="A145" s="2" t="s">
        <v>122</v>
      </c>
      <c r="B145" s="2" t="s">
        <v>1</v>
      </c>
      <c r="C145" s="2" t="s">
        <v>42</v>
      </c>
      <c r="D145" s="4">
        <v>54</v>
      </c>
      <c r="E145" s="17">
        <v>81.599999999999994</v>
      </c>
      <c r="F145" s="15">
        <v>20.21</v>
      </c>
    </row>
    <row r="146" spans="1:6" x14ac:dyDescent="0.2">
      <c r="A146" s="1" t="s">
        <v>412</v>
      </c>
      <c r="B146" s="1" t="s">
        <v>1</v>
      </c>
      <c r="C146" s="1" t="s">
        <v>42</v>
      </c>
      <c r="D146" s="3">
        <v>52</v>
      </c>
      <c r="E146" s="16">
        <v>100</v>
      </c>
      <c r="F146" s="13">
        <v>113.06</v>
      </c>
    </row>
  </sheetData>
  <autoFilter ref="A1:F146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D0959-2A8C-624B-A04D-189B4EB46EF3}">
  <dimension ref="A1:D36"/>
  <sheetViews>
    <sheetView topLeftCell="A14" zoomScaleNormal="100" workbookViewId="0">
      <selection activeCell="F12" sqref="F12"/>
    </sheetView>
  </sheetViews>
  <sheetFormatPr baseColWidth="10" defaultColWidth="8.6640625" defaultRowHeight="15" x14ac:dyDescent="0.2"/>
  <cols>
    <col min="1" max="1" width="38" customWidth="1"/>
    <col min="2" max="2" width="24" customWidth="1"/>
    <col min="3" max="3" width="20" customWidth="1"/>
    <col min="4" max="4" width="22" customWidth="1"/>
  </cols>
  <sheetData>
    <row r="1" spans="1:4" ht="18" x14ac:dyDescent="0.2">
      <c r="A1" s="38" t="s">
        <v>625</v>
      </c>
      <c r="B1" s="38"/>
      <c r="C1" s="38"/>
      <c r="D1" s="38"/>
    </row>
    <row r="3" spans="1:4" ht="16" x14ac:dyDescent="0.2">
      <c r="A3" s="28" t="s">
        <v>624</v>
      </c>
    </row>
    <row r="4" spans="1:4" x14ac:dyDescent="0.2">
      <c r="A4" s="9" t="s">
        <v>623</v>
      </c>
      <c r="B4" s="39" t="s">
        <v>622</v>
      </c>
      <c r="C4" s="39"/>
      <c r="D4" s="39"/>
    </row>
    <row r="5" spans="1:4" x14ac:dyDescent="0.2">
      <c r="A5" s="9" t="s">
        <v>621</v>
      </c>
      <c r="B5" s="39" t="s">
        <v>620</v>
      </c>
      <c r="C5" s="39"/>
      <c r="D5" s="39"/>
    </row>
    <row r="6" spans="1:4" x14ac:dyDescent="0.2">
      <c r="A6" s="9" t="s">
        <v>619</v>
      </c>
      <c r="B6" s="39" t="s">
        <v>618</v>
      </c>
      <c r="C6" s="39"/>
      <c r="D6" s="39"/>
    </row>
    <row r="7" spans="1:4" x14ac:dyDescent="0.2">
      <c r="A7" s="9" t="s">
        <v>617</v>
      </c>
      <c r="B7" s="39" t="s">
        <v>616</v>
      </c>
      <c r="C7" s="39"/>
      <c r="D7" s="39"/>
    </row>
    <row r="8" spans="1:4" x14ac:dyDescent="0.2">
      <c r="A8" s="9" t="s">
        <v>615</v>
      </c>
      <c r="B8" s="39" t="s">
        <v>614</v>
      </c>
      <c r="C8" s="39"/>
      <c r="D8" s="39"/>
    </row>
    <row r="10" spans="1:4" ht="16" x14ac:dyDescent="0.2">
      <c r="A10" s="28" t="s">
        <v>613</v>
      </c>
    </row>
    <row r="11" spans="1:4" x14ac:dyDescent="0.2">
      <c r="A11" s="32" t="s">
        <v>612</v>
      </c>
      <c r="B11" s="32" t="s">
        <v>611</v>
      </c>
    </row>
    <row r="12" spans="1:4" x14ac:dyDescent="0.2">
      <c r="A12" s="34" t="s">
        <v>610</v>
      </c>
      <c r="B12" s="33">
        <v>22</v>
      </c>
    </row>
    <row r="13" spans="1:4" x14ac:dyDescent="0.2">
      <c r="A13" s="29" t="s">
        <v>609</v>
      </c>
      <c r="B13" s="36">
        <f>'tony award revenue lift'!C24</f>
        <v>746837.18181818177</v>
      </c>
    </row>
    <row r="14" spans="1:4" x14ac:dyDescent="0.2">
      <c r="A14" s="34" t="s">
        <v>608</v>
      </c>
      <c r="B14" s="37">
        <f>'tony award revenue lift'!D24</f>
        <v>990128.90909090906</v>
      </c>
    </row>
    <row r="15" spans="1:4" x14ac:dyDescent="0.2">
      <c r="A15" s="29" t="s">
        <v>607</v>
      </c>
      <c r="B15" s="36">
        <f>'tony award revenue lift'!E24</f>
        <v>243291.72727272726</v>
      </c>
    </row>
    <row r="16" spans="1:4" x14ac:dyDescent="0.2">
      <c r="A16" s="34" t="s">
        <v>606</v>
      </c>
      <c r="B16" s="35">
        <f>'tony award revenue lift'!F24</f>
        <v>0.35834962989873786</v>
      </c>
    </row>
    <row r="17" spans="1:4" x14ac:dyDescent="0.2">
      <c r="A17" s="29" t="s">
        <v>605</v>
      </c>
      <c r="B17" s="31">
        <v>20</v>
      </c>
    </row>
    <row r="18" spans="1:4" x14ac:dyDescent="0.2">
      <c r="A18" s="34" t="s">
        <v>604</v>
      </c>
      <c r="B18" s="33">
        <v>2</v>
      </c>
    </row>
    <row r="20" spans="1:4" ht="16" x14ac:dyDescent="0.2">
      <c r="A20" s="28" t="s">
        <v>603</v>
      </c>
    </row>
    <row r="21" spans="1:4" x14ac:dyDescent="0.2">
      <c r="A21" s="32" t="s">
        <v>602</v>
      </c>
      <c r="B21" s="32" t="s">
        <v>601</v>
      </c>
      <c r="C21" s="32" t="s">
        <v>600</v>
      </c>
      <c r="D21" s="32" t="s">
        <v>599</v>
      </c>
    </row>
    <row r="22" spans="1:4" x14ac:dyDescent="0.2">
      <c r="A22" s="29" t="s">
        <v>598</v>
      </c>
      <c r="B22" s="31" t="s">
        <v>597</v>
      </c>
      <c r="C22" s="31" t="s">
        <v>596</v>
      </c>
      <c r="D22" s="30" t="s">
        <v>592</v>
      </c>
    </row>
    <row r="23" spans="1:4" x14ac:dyDescent="0.2">
      <c r="A23" s="29" t="s">
        <v>595</v>
      </c>
      <c r="B23" s="31" t="s">
        <v>594</v>
      </c>
      <c r="C23" s="31" t="s">
        <v>593</v>
      </c>
      <c r="D23" s="30" t="s">
        <v>592</v>
      </c>
    </row>
    <row r="25" spans="1:4" ht="16" x14ac:dyDescent="0.2">
      <c r="A25" s="28" t="s">
        <v>591</v>
      </c>
    </row>
    <row r="26" spans="1:4" x14ac:dyDescent="0.2">
      <c r="A26" s="9" t="s">
        <v>590</v>
      </c>
      <c r="B26" s="41" t="s">
        <v>589</v>
      </c>
      <c r="C26" s="41"/>
    </row>
    <row r="28" spans="1:4" ht="16" x14ac:dyDescent="0.2">
      <c r="A28" s="28" t="s">
        <v>588</v>
      </c>
    </row>
    <row r="29" spans="1:4" x14ac:dyDescent="0.2">
      <c r="A29" s="39" t="s">
        <v>587</v>
      </c>
      <c r="B29" s="39"/>
      <c r="C29" s="39"/>
      <c r="D29" s="39"/>
    </row>
    <row r="30" spans="1:4" x14ac:dyDescent="0.2">
      <c r="A30" s="39" t="s">
        <v>586</v>
      </c>
      <c r="B30" s="39"/>
      <c r="C30" s="39"/>
      <c r="D30" s="39"/>
    </row>
    <row r="31" spans="1:4" x14ac:dyDescent="0.2">
      <c r="A31" s="39" t="s">
        <v>585</v>
      </c>
      <c r="B31" s="39"/>
      <c r="C31" s="39"/>
      <c r="D31" s="39"/>
    </row>
    <row r="33" spans="1:4" ht="16" x14ac:dyDescent="0.2">
      <c r="A33" s="28" t="s">
        <v>584</v>
      </c>
    </row>
    <row r="34" spans="1:4" x14ac:dyDescent="0.2">
      <c r="A34" s="40" t="s">
        <v>583</v>
      </c>
      <c r="B34" s="40"/>
      <c r="C34" s="40"/>
      <c r="D34" s="40"/>
    </row>
    <row r="35" spans="1:4" x14ac:dyDescent="0.2">
      <c r="A35" s="40" t="s">
        <v>582</v>
      </c>
      <c r="B35" s="40"/>
      <c r="C35" s="40"/>
      <c r="D35" s="40"/>
    </row>
    <row r="36" spans="1:4" x14ac:dyDescent="0.2">
      <c r="A36" s="40" t="s">
        <v>581</v>
      </c>
      <c r="B36" s="40"/>
      <c r="C36" s="40"/>
      <c r="D36" s="40"/>
    </row>
  </sheetData>
  <mergeCells count="13">
    <mergeCell ref="A34:D34"/>
    <mergeCell ref="A35:D35"/>
    <mergeCell ref="A36:D36"/>
    <mergeCell ref="B8:D8"/>
    <mergeCell ref="B26:C26"/>
    <mergeCell ref="A29:D29"/>
    <mergeCell ref="A30:D30"/>
    <mergeCell ref="A31:D31"/>
    <mergeCell ref="A1:D1"/>
    <mergeCell ref="B4:D4"/>
    <mergeCell ref="B5:D5"/>
    <mergeCell ref="B6:D6"/>
    <mergeCell ref="B7:D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shows</vt:lpstr>
      <vt:lpstr>tony awards</vt:lpstr>
      <vt:lpstr>tony award revenue lift</vt:lpstr>
      <vt:lpstr>revenue by year</vt:lpstr>
      <vt:lpstr>show performance summary</vt:lpstr>
      <vt:lpstr>statistical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s1632</cp:lastModifiedBy>
  <cp:revision>0</cp:revision>
  <dcterms:created xsi:type="dcterms:W3CDTF">2026-02-22T21:17:45Z</dcterms:created>
  <dcterms:modified xsi:type="dcterms:W3CDTF">2026-02-22T23:07:41Z</dcterms:modified>
  <dc:language>en-US</dc:language>
</cp:coreProperties>
</file>